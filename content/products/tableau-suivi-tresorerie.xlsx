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ACCUEIL" state="visible" r:id="rId4"/>
    <sheet sheetId="2" name="02_PARAMETRES" state="visible" r:id="rId5"/>
    <sheet sheetId="3" name="03_FLUX" state="visible" r:id="rId6"/>
    <sheet sheetId="5" name="04_TABLEAU_DE_BORD" state="visible" r:id="rId7"/>
    <sheet sheetId="4" name="05_PREVISION" state="visible" r:id="rId8"/>
    <sheet sheetId="6" name="06_AIDE" state="visible" r:id="rId9"/>
    <sheet sheetId="7" name="99_LISTES" state="veryHidden" r:id="rId10"/>
  </sheets>
  <calcPr calcId="171027"/>
</workbook>
</file>

<file path=xl/sharedStrings.xml><?xml version="1.0" encoding="utf-8"?>
<sst xmlns="http://schemas.openxmlformats.org/spreadsheetml/2006/main" count="141" uniqueCount="87">
  <si>
    <t>SADesk  |  TABLEAU DE SUIVI DE TRÉSORERIE</t>
  </si>
  <si>
    <t>Pilotez votre trésorerie simplement.</t>
  </si>
  <si>
    <t>1. Configurez vos paramètres  •  2. Saisissez vos flux  •  3. Consultez vos prévisions et alertes</t>
  </si>
  <si>
    <t>💰 SAISIR MES FLUX</t>
  </si>
  <si>
    <t>📊 VOIR MA TRÉSORERIE</t>
  </si>
  <si>
    <t>⚠ VOIR MES ALERTES</t>
  </si>
  <si>
    <t>Les montants d'exemple sont fictifs. Les cellules bleues sont à renseigner ; les cellules blanches sont calculées automatiquement.</t>
  </si>
  <si>
    <t>Dernière mise à jour : 19/09/2026 · Outil de gestion, non comptable.</t>
  </si>
  <si>
    <t>PARAMÈTRES DE L'ENTREPRISE</t>
  </si>
  <si>
    <t>Valeur</t>
  </si>
  <si>
    <t>Nom de l'entreprise</t>
  </si>
  <si>
    <t>Entreprise exemple</t>
  </si>
  <si>
    <t>Période de suivi</t>
  </si>
  <si>
    <t>90 jours</t>
  </si>
  <si>
    <t>Devise</t>
  </si>
  <si>
    <t>EUR</t>
  </si>
  <si>
    <t>TRÉSORERIE</t>
  </si>
  <si>
    <t>Solde initial</t>
  </si>
  <si>
    <t>Seuil de sécurité</t>
  </si>
  <si>
    <t>Date du solde initial</t>
  </si>
  <si>
    <t>Saisissez un montant toujours positif : le type de flux détermine automatiquement son impact sur la trésorerie.</t>
  </si>
  <si>
    <t>Date</t>
  </si>
  <si>
    <t>Type</t>
  </si>
  <si>
    <t>Catégorie</t>
  </si>
  <si>
    <t>Libellé</t>
  </si>
  <si>
    <t>Montant</t>
  </si>
  <si>
    <t>Statut</t>
  </si>
  <si>
    <t>Commentaire</t>
  </si>
  <si>
    <t>Impact trésorerie</t>
  </si>
  <si>
    <t>Encaissement</t>
  </si>
  <si>
    <t>Ventes</t>
  </si>
  <si>
    <t>Facture ABC</t>
  </si>
  <si>
    <t>Prévu</t>
  </si>
  <si>
    <t>Exemple fictif</t>
  </si>
  <si>
    <t>Décaissement</t>
  </si>
  <si>
    <t>Fournisseurs</t>
  </si>
  <si>
    <t>Matériaux</t>
  </si>
  <si>
    <t>Salaires</t>
  </si>
  <si>
    <t>Facture XYZ</t>
  </si>
  <si>
    <t>Réalisé</t>
  </si>
  <si>
    <t>TABLEAU DE BORD DE TRÉSORERIE</t>
  </si>
  <si>
    <t>TRÉSORERIE ACTUELLE</t>
  </si>
  <si>
    <t>PRÉVISION À 30 JOURS</t>
  </si>
  <si>
    <t>PRÉVISION À 60 JOURS</t>
  </si>
  <si>
    <t>PRÉVISION À 90 JOURS</t>
  </si>
  <si>
    <t>SEUIL DE SÉCURITÉ</t>
  </si>
  <si>
    <t>ÉCART AU SEUIL À 90 J.</t>
  </si>
  <si>
    <t>POINT DE TENSION PRÉVISIONNEL</t>
  </si>
  <si>
    <t>DÉCAISSEMENTS À 7 JOURS</t>
  </si>
  <si>
    <t>Encaissements prévus</t>
  </si>
  <si>
    <t>Décaissements prévus</t>
  </si>
  <si>
    <t>Encaissements réalisés</t>
  </si>
  <si>
    <t>Décaissements réalisés</t>
  </si>
  <si>
    <t>Solde prévisionnel</t>
  </si>
  <si>
    <t>Alerte</t>
  </si>
  <si>
    <t>AIDE — TABLEAU DE SUIVI DE TRÉSORERIE</t>
  </si>
  <si>
    <t>1. Configurer</t>
  </si>
  <si>
    <t>Dans 02_PARAMETRES, renseignez le solde initial, sa date et votre seuil de sécurité.</t>
  </si>
  <si>
    <t>2. Saisir</t>
  </si>
  <si>
    <t>Dans 03_FLUX, saisissez chaque flux avec un montant toujours positif. Le type Encaissement ou Décaissement gère le signe automatiquement.</t>
  </si>
  <si>
    <t>3. Prévoir</t>
  </si>
  <si>
    <t>Les flux Prévu alimentent automatiquement la projection quotidienne de 90 jours.</t>
  </si>
  <si>
    <t>4. Lire le tableau de bord</t>
  </si>
  <si>
    <t>Le tableau de bord affiche les soldes à 30, 60 et 90 jours, ainsi que la première date de passage sous le seuil.</t>
  </si>
  <si>
    <t>5. Comprendre les alertes</t>
  </si>
  <si>
    <t>Normal : au-dessus du seuil. Vigilance : à moins de 20 % du seuil. Alerte : sous le seuil de sécurité.</t>
  </si>
  <si>
    <t>Types</t>
  </si>
  <si>
    <t>Catégories</t>
  </si>
  <si>
    <t>Statuts</t>
  </si>
  <si>
    <t>Prestations</t>
  </si>
  <si>
    <t/>
  </si>
  <si>
    <t>Acomptes</t>
  </si>
  <si>
    <t>Autres encaissements</t>
  </si>
  <si>
    <t>Achats</t>
  </si>
  <si>
    <t>Sous-traitance</t>
  </si>
  <si>
    <t>Charges sociales</t>
  </si>
  <si>
    <t>Impôts et taxes</t>
  </si>
  <si>
    <t>TVA</t>
  </si>
  <si>
    <t>Loyer</t>
  </si>
  <si>
    <t>Assurances</t>
  </si>
  <si>
    <t>Énergie</t>
  </si>
  <si>
    <t>Télécommunications</t>
  </si>
  <si>
    <t>Véhicule</t>
  </si>
  <si>
    <t>Carburant</t>
  </si>
  <si>
    <t>Emprunt</t>
  </si>
  <si>
    <t>Investissement</t>
  </si>
  <si>
    <t>Autres dépenses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</si>
</sst>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[$€-fr-FR]"/>
    <numFmt numFmtId="165" formatCode="dd/mm/yyyy"/>
  </numFmts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b/>
      <color rgb="FF1E293B"/>
      <sz val="18"/>
      <name val="Aptos Display"/>
    </font>
    <font>
      <b/>
      <color rgb="FFFFFFFF"/>
      <sz val="13"/>
    </font>
    <font>
      <i/>
      <color rgb="FF64748B"/>
    </font>
    <font>
      <b/>
      <color rgb="FFFFFFFF"/>
    </font>
    <font>
      <b/>
      <color rgb="FF1E293B"/>
    </font>
    <font>
      <b/>
      <color rgb="FF1D4ED8"/>
      <sz val="17"/>
    </font>
    <font>
      <b/>
      <color rgb="FF1D4ED8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DCEEFF"/>
      </patternFill>
    </fill>
    <fill>
      <patternFill patternType="solid">
        <fgColor rgb="FFF97316"/>
      </patternFill>
    </fill>
    <fill>
      <patternFill patternType="solid">
        <fgColor rgb="FFFFF7ED"/>
      </patternFill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1" xfId="0" applyBorder="1" applyAlignment="1"/>
    <xf numFmtId="0" fontId="0" fillId="5" borderId="1" xfId="0" applyFill="1" applyBorder="1" applyAlignment="1" applyProtection="1">
      <protection locked="0"/>
    </xf>
    <xf numFmtId="0" fontId="5" fillId="6" borderId="1" xfId="0" applyFont="1" applyFill="1" applyBorder="1" applyAlignment="1">
      <alignment wrapText="1"/>
    </xf>
    <xf numFmtId="164" fontId="0" fillId="5" borderId="1" xfId="0" applyNumberFormat="1" applyFill="1" applyBorder="1" applyAlignment="1" applyProtection="1">
      <protection locked="0"/>
    </xf>
    <xf numFmtId="165" fontId="0" fillId="5" borderId="1" xfId="0" applyNumberFormat="1" applyFill="1" applyBorder="1" applyAlignment="1" applyProtection="1">
      <protection locked="0"/>
    </xf>
    <xf numFmtId="165" fontId="0" fillId="0" borderId="0" xfId="0" applyNumberFormat="1"/>
    <xf numFmtId="164" fontId="0" fillId="0" borderId="0" xfId="0" applyNumberFormat="1"/>
    <xf numFmtId="164" fontId="4" fillId="0" borderId="1" xfId="0" applyNumberFormat="1" applyFont="1" applyBorder="1" applyAlignment="1"/>
    <xf numFmtId="165" fontId="5" fillId="3" borderId="1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wrapText="1"/>
    </xf>
    <xf numFmtId="164" fontId="0" fillId="0" borderId="1" xfId="0" applyNumberFormat="1" applyBorder="1" applyAlignment="1"/>
    <xf numFmtId="165" fontId="0" fillId="5" borderId="0" xfId="0" applyNumberFormat="1" applyFill="1" applyProtection="1">
      <protection locked="0"/>
    </xf>
    <xf numFmtId="0" fontId="0" fillId="5" borderId="0" xfId="0" applyFill="1" applyProtection="1">
      <protection locked="0"/>
    </xf>
    <xf numFmtId="164" fontId="0" fillId="5" borderId="0" xfId="0" applyNumberFormat="1" applyFill="1" applyProtection="1">
      <protection locked="0"/>
    </xf>
    <xf numFmtId="0" fontId="6" fillId="0" borderId="1" xfId="0" applyFont="1" applyBorder="1" applyAlignment="1"/>
    <xf numFmtId="164" fontId="7" fillId="0" borderId="1" xfId="0" applyNumberFormat="1" applyFont="1" applyBorder="1" applyAlignment="1"/>
    <xf numFmtId="165" fontId="0" fillId="0" borderId="1" xfId="0" applyNumberFormat="1" applyBorder="1" applyAlignment="1"/>
    <xf numFmtId="0" fontId="0" fillId="7" borderId="1" xfId="0" applyFill="1" applyBorder="1" applyAlignment="1">
      <alignment wrapText="1"/>
    </xf>
    <xf numFmtId="0" fontId="0" fillId="0" borderId="1" xfId="0" applyBorder="1" applyAlignment="1">
      <alignment wrapText="1"/>
    </xf>
    <xf numFmtId="165" fontId="5" fillId="8" borderId="1" xfId="0" applyNumberFormat="1" applyFont="1" applyFill="1" applyBorder="1" applyAlignment="1">
      <alignment wrapText="1"/>
    </xf>
    <xf numFmtId="164" fontId="5" fillId="8" borderId="1" xfId="0" applyNumberFormat="1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8" fillId="0" borderId="1" xfId="0" applyFont="1" applyBorder="1" applyAlignment="1"/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b/>
        <color rgb="FFB91C1C"/>
      </font>
      <fill>
        <patternFill patternType="solid">
          <fgColor rgb="FFFEE2E2"/>
        </patternFill>
      </fill>
    </dxf>
    <dxf>
      <font>
        <b/>
        <color rgb="FFC2410C"/>
      </font>
      <fill>
        <patternFill patternType="solid">
          <fgColor rgb="FFFFED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03_FLUX&apos;!A1" TargetMode="External"/><Relationship Id="rId2" Type="http://schemas.openxmlformats.org/officeDocument/2006/relationships/hyperlink" Target="#&apos;04_TABLEAU_DE_BORD&apos;!A1" TargetMode="External"/><Relationship Id="rId3" Type="http://schemas.openxmlformats.org/officeDocument/2006/relationships/hyperlink" Target="#&apos;04_TABLEAU_DE_BORD&apos;!A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7" spans="1:6" x14ac:dyDescent="0.25">
      <c r="A7" s="4" t="s">
        <v>3</v>
      </c>
      <c r="B7" s="4"/>
      <c r="C7" s="4" t="s">
        <v>4</v>
      </c>
      <c r="D7" s="4"/>
      <c r="E7" s="4" t="s">
        <v>5</v>
      </c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2" spans="1:6" x14ac:dyDescent="0.25">
      <c r="A12" s="5" t="s">
        <v>6</v>
      </c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6" spans="1:6" x14ac:dyDescent="0.25">
      <c r="A16" s="6" t="s">
        <v>7</v>
      </c>
      <c r="B16" s="6"/>
      <c r="C16" s="6"/>
      <c r="D16" s="6"/>
      <c r="E16" s="6"/>
      <c r="F16" s="6"/>
    </row>
  </sheetData>
  <sheetProtection sheet="1" algorithmName="SHA-512" hashValue="LzyWW35YmmjhSfPe+JrDlkgkjunap2CgywtooQNFZpS5ocQflenIIBPH7fRURxmbaVbINnzF/Wjz2fubzsygsA==" saltValue="P7LFTUekmHDKKNgKV/Op6g==" spinCount="100000"/>
  <mergeCells count="8">
    <mergeCell ref="A1:F1"/>
    <mergeCell ref="A3:F3"/>
    <mergeCell ref="A5:F5"/>
    <mergeCell ref="A7:B9"/>
    <mergeCell ref="C7:D9"/>
    <mergeCell ref="E7:F9"/>
    <mergeCell ref="A12:F13"/>
    <mergeCell ref="A16:F16"/>
  </mergeCells>
  <hyperlinks>
    <hyperlink ref="A7" r:id="rId1" location="#'03_FLUX'!A1"/>
    <hyperlink ref="C7" r:id="rId2" location="#'04_TABLEAU_DE_BORD'!A1"/>
    <hyperlink ref="E7" r:id="rId3" location="#'04_TABLEAU_DE_BORD'!A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4" customWidth="1"/>
  </cols>
  <sheetData>
    <row r="1" spans="1:2" x14ac:dyDescent="0.25">
      <c r="A1" s="7" t="s">
        <v>8</v>
      </c>
      <c r="B1" s="7" t="s">
        <v>9</v>
      </c>
    </row>
    <row r="2" spans="1:2" x14ac:dyDescent="0.25">
      <c r="A2" s="8" t="s">
        <v>10</v>
      </c>
      <c r="B2" s="9" t="s">
        <v>11</v>
      </c>
    </row>
    <row r="3" spans="1:2" x14ac:dyDescent="0.25">
      <c r="A3" s="8" t="s">
        <v>12</v>
      </c>
      <c r="B3" s="9" t="s">
        <v>13</v>
      </c>
    </row>
    <row r="4" spans="1:2" x14ac:dyDescent="0.25">
      <c r="A4" s="8" t="s">
        <v>14</v>
      </c>
      <c r="B4" s="9" t="s">
        <v>15</v>
      </c>
    </row>
    <row r="6" spans="1:2" x14ac:dyDescent="0.25">
      <c r="A6" s="10" t="s">
        <v>16</v>
      </c>
      <c r="B6" s="10" t="s">
        <v>9</v>
      </c>
    </row>
    <row r="7" spans="1:2" x14ac:dyDescent="0.25">
      <c r="A7" s="8" t="s">
        <v>17</v>
      </c>
      <c r="B7" s="11">
        <v>25000</v>
      </c>
    </row>
    <row r="8" spans="1:2" x14ac:dyDescent="0.25">
      <c r="A8" s="8" t="s">
        <v>18</v>
      </c>
      <c r="B8" s="11">
        <v>10000</v>
      </c>
    </row>
    <row r="9" spans="1:2" x14ac:dyDescent="0.25">
      <c r="A9" s="8" t="s">
        <v>19</v>
      </c>
      <c r="B9" s="12">
        <v>46265.91666666667</v>
      </c>
    </row>
  </sheetData>
  <sheetProtection sheet="1" algorithmName="SHA-512" hashValue="yQNjVrpEGmPXTSzUMxcU6plECUcuGVIetssWvpXasmIUuOsakny+3AmPxyDfGhVZIyFEKWYy9HCuyiu4ge2EZA==" saltValue="t+jzkEvFBInc1Z4gk/+VW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4" style="13" customWidth="1"/>
    <col min="2" max="2" width="18" customWidth="1"/>
    <col min="3" max="3" width="22" customWidth="1"/>
    <col min="4" max="4" width="30" customWidth="1"/>
    <col min="5" max="5" width="16" style="14" customWidth="1"/>
    <col min="6" max="6" width="14" customWidth="1"/>
    <col min="7" max="7" width="28" customWidth="1"/>
    <col min="8" max="8" width="18" style="14" customWidth="1"/>
  </cols>
  <sheetData>
    <row r="1" spans="1:8" x14ac:dyDescent="0.25">
      <c r="A1" s="15" t="s">
        <v>20</v>
      </c>
      <c r="B1" s="15"/>
      <c r="C1" s="15"/>
      <c r="D1" s="15"/>
      <c r="E1" s="15"/>
      <c r="F1" s="15"/>
      <c r="G1" s="15"/>
      <c r="H1" s="15"/>
    </row>
    <row r="2" spans="1:8" x14ac:dyDescent="0.25">
      <c r="A2" s="16" t="s">
        <v>21</v>
      </c>
      <c r="B2" s="17" t="s">
        <v>22</v>
      </c>
      <c r="C2" s="17" t="s">
        <v>23</v>
      </c>
      <c r="D2" s="17" t="s">
        <v>24</v>
      </c>
      <c r="E2" s="18" t="s">
        <v>25</v>
      </c>
      <c r="F2" s="17" t="s">
        <v>26</v>
      </c>
      <c r="G2" s="17" t="s">
        <v>27</v>
      </c>
      <c r="H2" s="18" t="s">
        <v>28</v>
      </c>
    </row>
    <row r="3" spans="1:8" x14ac:dyDescent="0.25">
      <c r="A3" s="12">
        <v>46269.91666666667</v>
      </c>
      <c r="B3" s="9" t="s">
        <v>29</v>
      </c>
      <c r="C3" s="9" t="s">
        <v>30</v>
      </c>
      <c r="D3" s="9" t="s">
        <v>31</v>
      </c>
      <c r="E3" s="11">
        <v>3500</v>
      </c>
      <c r="F3" s="9" t="s">
        <v>32</v>
      </c>
      <c r="G3" s="9" t="s">
        <v>33</v>
      </c>
      <c r="H3" s="19">
        <f>IF(B3="Encaissement",E3,-E3)</f>
      </c>
    </row>
    <row r="4" spans="1:8" x14ac:dyDescent="0.25">
      <c r="A4" s="12">
        <v>46271.91666666667</v>
      </c>
      <c r="B4" s="9" t="s">
        <v>34</v>
      </c>
      <c r="C4" s="9" t="s">
        <v>35</v>
      </c>
      <c r="D4" s="9" t="s">
        <v>36</v>
      </c>
      <c r="E4" s="11">
        <v>1200</v>
      </c>
      <c r="F4" s="9" t="s">
        <v>32</v>
      </c>
      <c r="G4" s="9" t="s">
        <v>33</v>
      </c>
      <c r="H4" s="19">
        <f>IF(B4="Encaissement",E4,-E4)</f>
      </c>
    </row>
    <row r="5" spans="1:8" x14ac:dyDescent="0.25">
      <c r="A5" s="12">
        <v>46274.91666666667</v>
      </c>
      <c r="B5" s="9" t="s">
        <v>34</v>
      </c>
      <c r="C5" s="9" t="s">
        <v>37</v>
      </c>
      <c r="D5" s="9" t="s">
        <v>37</v>
      </c>
      <c r="E5" s="11">
        <v>5000</v>
      </c>
      <c r="F5" s="9" t="s">
        <v>32</v>
      </c>
      <c r="G5" s="9" t="s">
        <v>33</v>
      </c>
      <c r="H5" s="19">
        <f>IF(B5="Encaissement",E5,-E5)</f>
      </c>
    </row>
    <row r="6" spans="1:8" x14ac:dyDescent="0.25">
      <c r="A6" s="12">
        <v>46279.91666666667</v>
      </c>
      <c r="B6" s="9" t="s">
        <v>29</v>
      </c>
      <c r="C6" s="9" t="s">
        <v>30</v>
      </c>
      <c r="D6" s="9" t="s">
        <v>38</v>
      </c>
      <c r="E6" s="11">
        <v>2800</v>
      </c>
      <c r="F6" s="9" t="s">
        <v>39</v>
      </c>
      <c r="G6" s="9" t="s">
        <v>33</v>
      </c>
      <c r="H6" s="19">
        <f>IF(B6="Encaissement",E6,-E6)</f>
      </c>
    </row>
    <row r="7" spans="1:8" x14ac:dyDescent="0.25">
      <c r="A7" s="20"/>
      <c r="B7" s="21"/>
      <c r="C7" s="21"/>
      <c r="D7" s="21"/>
      <c r="E7" s="22"/>
      <c r="F7" s="21"/>
      <c r="G7" s="21"/>
      <c r="H7" s="19">
        <f>IF(B7="","",IF(B7="Encaissement",E7,-E7))</f>
      </c>
    </row>
    <row r="8" spans="1:8" x14ac:dyDescent="0.25">
      <c r="A8" s="20"/>
      <c r="B8" s="21"/>
      <c r="C8" s="21"/>
      <c r="D8" s="21"/>
      <c r="E8" s="22"/>
      <c r="F8" s="21"/>
      <c r="G8" s="21"/>
      <c r="H8" s="19">
        <f>IF(B8="","",IF(B8="Encaissement",E8,-E8))</f>
      </c>
    </row>
    <row r="9" spans="1:8" x14ac:dyDescent="0.25">
      <c r="A9" s="20"/>
      <c r="B9" s="21"/>
      <c r="C9" s="21"/>
      <c r="D9" s="21"/>
      <c r="E9" s="22"/>
      <c r="F9" s="21"/>
      <c r="G9" s="21"/>
      <c r="H9" s="19">
        <f>IF(B9="","",IF(B9="Encaissement",E9,-E9))</f>
      </c>
    </row>
    <row r="10" spans="1:8" x14ac:dyDescent="0.25">
      <c r="A10" s="20"/>
      <c r="B10" s="21"/>
      <c r="C10" s="21"/>
      <c r="D10" s="21"/>
      <c r="E10" s="22"/>
      <c r="F10" s="21"/>
      <c r="G10" s="21"/>
      <c r="H10" s="19">
        <f>IF(B10="","",IF(B10="Encaissement",E10,-E10))</f>
      </c>
    </row>
    <row r="11" spans="1:8" x14ac:dyDescent="0.25">
      <c r="A11" s="20"/>
      <c r="B11" s="21"/>
      <c r="C11" s="21"/>
      <c r="D11" s="21"/>
      <c r="E11" s="22"/>
      <c r="F11" s="21"/>
      <c r="G11" s="21"/>
      <c r="H11" s="19">
        <f>IF(B11="","",IF(B11="Encaissement",E11,-E11))</f>
      </c>
    </row>
    <row r="12" spans="1:8" x14ac:dyDescent="0.25">
      <c r="A12" s="20"/>
      <c r="B12" s="21"/>
      <c r="C12" s="21"/>
      <c r="D12" s="21"/>
      <c r="E12" s="22"/>
      <c r="F12" s="21"/>
      <c r="G12" s="21"/>
      <c r="H12" s="19">
        <f>IF(B12="","",IF(B12="Encaissement",E12,-E12))</f>
      </c>
    </row>
    <row r="13" spans="1:8" x14ac:dyDescent="0.25">
      <c r="A13" s="20"/>
      <c r="B13" s="21"/>
      <c r="C13" s="21"/>
      <c r="D13" s="21"/>
      <c r="E13" s="22"/>
      <c r="F13" s="21"/>
      <c r="G13" s="21"/>
      <c r="H13" s="19">
        <f>IF(B13="","",IF(B13="Encaissement",E13,-E13))</f>
      </c>
    </row>
    <row r="14" spans="1:8" x14ac:dyDescent="0.25">
      <c r="A14" s="20"/>
      <c r="B14" s="21"/>
      <c r="C14" s="21"/>
      <c r="D14" s="21"/>
      <c r="E14" s="22"/>
      <c r="F14" s="21"/>
      <c r="G14" s="21"/>
      <c r="H14" s="19">
        <f>IF(B14="","",IF(B14="Encaissement",E14,-E14))</f>
      </c>
    </row>
    <row r="15" spans="1:8" x14ac:dyDescent="0.25">
      <c r="A15" s="20"/>
      <c r="B15" s="21"/>
      <c r="C15" s="21"/>
      <c r="D15" s="21"/>
      <c r="E15" s="22"/>
      <c r="F15" s="21"/>
      <c r="G15" s="21"/>
      <c r="H15" s="19">
        <f>IF(B15="","",IF(B15="Encaissement",E15,-E15))</f>
      </c>
    </row>
    <row r="16" spans="1:8" x14ac:dyDescent="0.25">
      <c r="A16" s="20"/>
      <c r="B16" s="21"/>
      <c r="C16" s="21"/>
      <c r="D16" s="21"/>
      <c r="E16" s="22"/>
      <c r="F16" s="21"/>
      <c r="G16" s="21"/>
      <c r="H16" s="19">
        <f>IF(B16="","",IF(B16="Encaissement",E16,-E16))</f>
      </c>
    </row>
    <row r="17" spans="1:8" x14ac:dyDescent="0.25">
      <c r="A17" s="20"/>
      <c r="B17" s="21"/>
      <c r="C17" s="21"/>
      <c r="D17" s="21"/>
      <c r="E17" s="22"/>
      <c r="F17" s="21"/>
      <c r="G17" s="21"/>
      <c r="H17" s="19">
        <f>IF(B17="","",IF(B17="Encaissement",E17,-E17))</f>
      </c>
    </row>
    <row r="18" spans="1:8" x14ac:dyDescent="0.25">
      <c r="A18" s="20"/>
      <c r="B18" s="21"/>
      <c r="C18" s="21"/>
      <c r="D18" s="21"/>
      <c r="E18" s="22"/>
      <c r="F18" s="21"/>
      <c r="G18" s="21"/>
      <c r="H18" s="19">
        <f>IF(B18="","",IF(B18="Encaissement",E18,-E18))</f>
      </c>
    </row>
    <row r="19" spans="1:8" x14ac:dyDescent="0.25">
      <c r="A19" s="20"/>
      <c r="B19" s="21"/>
      <c r="C19" s="21"/>
      <c r="D19" s="21"/>
      <c r="E19" s="22"/>
      <c r="F19" s="21"/>
      <c r="G19" s="21"/>
      <c r="H19" s="19">
        <f>IF(B19="","",IF(B19="Encaissement",E19,-E19))</f>
      </c>
    </row>
    <row r="20" spans="1:8" x14ac:dyDescent="0.25">
      <c r="A20" s="20"/>
      <c r="B20" s="21"/>
      <c r="C20" s="21"/>
      <c r="D20" s="21"/>
      <c r="E20" s="22"/>
      <c r="F20" s="21"/>
      <c r="G20" s="21"/>
      <c r="H20" s="19">
        <f>IF(B20="","",IF(B20="Encaissement",E20,-E20))</f>
      </c>
    </row>
    <row r="21" spans="1:8" x14ac:dyDescent="0.25">
      <c r="A21" s="20"/>
      <c r="B21" s="21"/>
      <c r="C21" s="21"/>
      <c r="D21" s="21"/>
      <c r="E21" s="22"/>
      <c r="F21" s="21"/>
      <c r="G21" s="21"/>
      <c r="H21" s="19">
        <f>IF(B21="","",IF(B21="Encaissement",E21,-E21))</f>
      </c>
    </row>
    <row r="22" spans="1:8" x14ac:dyDescent="0.25">
      <c r="A22" s="20"/>
      <c r="B22" s="21"/>
      <c r="C22" s="21"/>
      <c r="D22" s="21"/>
      <c r="E22" s="22"/>
      <c r="F22" s="21"/>
      <c r="G22" s="21"/>
      <c r="H22" s="19">
        <f>IF(B22="","",IF(B22="Encaissement",E22,-E22))</f>
      </c>
    </row>
    <row r="23" spans="1:8" x14ac:dyDescent="0.25">
      <c r="A23" s="20"/>
      <c r="B23" s="21"/>
      <c r="C23" s="21"/>
      <c r="D23" s="21"/>
      <c r="E23" s="22"/>
      <c r="F23" s="21"/>
      <c r="G23" s="21"/>
      <c r="H23" s="19">
        <f>IF(B23="","",IF(B23="Encaissement",E23,-E23))</f>
      </c>
    </row>
    <row r="24" spans="1:8" x14ac:dyDescent="0.25">
      <c r="A24" s="20"/>
      <c r="B24" s="21"/>
      <c r="C24" s="21"/>
      <c r="D24" s="21"/>
      <c r="E24" s="22"/>
      <c r="F24" s="21"/>
      <c r="G24" s="21"/>
      <c r="H24" s="19">
        <f>IF(B24="","",IF(B24="Encaissement",E24,-E24))</f>
      </c>
    </row>
    <row r="25" spans="1:8" x14ac:dyDescent="0.25">
      <c r="A25" s="20"/>
      <c r="B25" s="21"/>
      <c r="C25" s="21"/>
      <c r="D25" s="21"/>
      <c r="E25" s="22"/>
      <c r="F25" s="21"/>
      <c r="G25" s="21"/>
      <c r="H25" s="19">
        <f>IF(B25="","",IF(B25="Encaissement",E25,-E25))</f>
      </c>
    </row>
    <row r="26" spans="1:8" x14ac:dyDescent="0.25">
      <c r="A26" s="20"/>
      <c r="B26" s="21"/>
      <c r="C26" s="21"/>
      <c r="D26" s="21"/>
      <c r="E26" s="22"/>
      <c r="F26" s="21"/>
      <c r="G26" s="21"/>
      <c r="H26" s="19">
        <f>IF(B26="","",IF(B26="Encaissement",E26,-E26))</f>
      </c>
    </row>
    <row r="27" spans="1:8" x14ac:dyDescent="0.25">
      <c r="A27" s="20"/>
      <c r="B27" s="21"/>
      <c r="C27" s="21"/>
      <c r="D27" s="21"/>
      <c r="E27" s="22"/>
      <c r="F27" s="21"/>
      <c r="G27" s="21"/>
      <c r="H27" s="19">
        <f>IF(B27="","",IF(B27="Encaissement",E27,-E27))</f>
      </c>
    </row>
    <row r="28" spans="1:8" x14ac:dyDescent="0.25">
      <c r="A28" s="20"/>
      <c r="B28" s="21"/>
      <c r="C28" s="21"/>
      <c r="D28" s="21"/>
      <c r="E28" s="22"/>
      <c r="F28" s="21"/>
      <c r="G28" s="21"/>
      <c r="H28" s="19">
        <f>IF(B28="","",IF(B28="Encaissement",E28,-E28))</f>
      </c>
    </row>
    <row r="29" spans="1:8" x14ac:dyDescent="0.25">
      <c r="A29" s="20"/>
      <c r="B29" s="21"/>
      <c r="C29" s="21"/>
      <c r="D29" s="21"/>
      <c r="E29" s="22"/>
      <c r="F29" s="21"/>
      <c r="G29" s="21"/>
      <c r="H29" s="19">
        <f>IF(B29="","",IF(B29="Encaissement",E29,-E29))</f>
      </c>
    </row>
    <row r="30" spans="1:8" x14ac:dyDescent="0.25">
      <c r="A30" s="20"/>
      <c r="B30" s="21"/>
      <c r="C30" s="21"/>
      <c r="D30" s="21"/>
      <c r="E30" s="22"/>
      <c r="F30" s="21"/>
      <c r="G30" s="21"/>
      <c r="H30" s="19">
        <f>IF(B30="","",IF(B30="Encaissement",E30,-E30))</f>
      </c>
    </row>
    <row r="31" spans="1:8" x14ac:dyDescent="0.25">
      <c r="A31" s="20"/>
      <c r="B31" s="21"/>
      <c r="C31" s="21"/>
      <c r="D31" s="21"/>
      <c r="E31" s="22"/>
      <c r="F31" s="21"/>
      <c r="G31" s="21"/>
      <c r="H31" s="19">
        <f>IF(B31="","",IF(B31="Encaissement",E31,-E31))</f>
      </c>
    </row>
    <row r="32" spans="1:8" x14ac:dyDescent="0.25">
      <c r="A32" s="20"/>
      <c r="B32" s="21"/>
      <c r="C32" s="21"/>
      <c r="D32" s="21"/>
      <c r="E32" s="22"/>
      <c r="F32" s="21"/>
      <c r="G32" s="21"/>
      <c r="H32" s="19">
        <f>IF(B32="","",IF(B32="Encaissement",E32,-E32))</f>
      </c>
    </row>
    <row r="33" spans="1:8" x14ac:dyDescent="0.25">
      <c r="A33" s="20"/>
      <c r="B33" s="21"/>
      <c r="C33" s="21"/>
      <c r="D33" s="21"/>
      <c r="E33" s="22"/>
      <c r="F33" s="21"/>
      <c r="G33" s="21"/>
      <c r="H33" s="19">
        <f>IF(B33="","",IF(B33="Encaissement",E33,-E33))</f>
      </c>
    </row>
    <row r="34" spans="1:8" x14ac:dyDescent="0.25">
      <c r="A34" s="20"/>
      <c r="B34" s="21"/>
      <c r="C34" s="21"/>
      <c r="D34" s="21"/>
      <c r="E34" s="22"/>
      <c r="F34" s="21"/>
      <c r="G34" s="21"/>
      <c r="H34" s="19">
        <f>IF(B34="","",IF(B34="Encaissement",E34,-E34))</f>
      </c>
    </row>
    <row r="35" spans="1:8" x14ac:dyDescent="0.25">
      <c r="A35" s="20"/>
      <c r="B35" s="21"/>
      <c r="C35" s="21"/>
      <c r="D35" s="21"/>
      <c r="E35" s="22"/>
      <c r="F35" s="21"/>
      <c r="G35" s="21"/>
      <c r="H35" s="19">
        <f>IF(B35="","",IF(B35="Encaissement",E35,-E35))</f>
      </c>
    </row>
    <row r="36" spans="1:8" x14ac:dyDescent="0.25">
      <c r="A36" s="20"/>
      <c r="B36" s="21"/>
      <c r="C36" s="21"/>
      <c r="D36" s="21"/>
      <c r="E36" s="22"/>
      <c r="F36" s="21"/>
      <c r="G36" s="21"/>
      <c r="H36" s="19">
        <f>IF(B36="","",IF(B36="Encaissement",E36,-E36))</f>
      </c>
    </row>
    <row r="37" spans="1:8" x14ac:dyDescent="0.25">
      <c r="A37" s="20"/>
      <c r="B37" s="21"/>
      <c r="C37" s="21"/>
      <c r="D37" s="21"/>
      <c r="E37" s="22"/>
      <c r="F37" s="21"/>
      <c r="G37" s="21"/>
      <c r="H37" s="19">
        <f>IF(B37="","",IF(B37="Encaissement",E37,-E37))</f>
      </c>
    </row>
    <row r="38" spans="1:8" x14ac:dyDescent="0.25">
      <c r="A38" s="20"/>
      <c r="B38" s="21"/>
      <c r="C38" s="21"/>
      <c r="D38" s="21"/>
      <c r="E38" s="22"/>
      <c r="F38" s="21"/>
      <c r="G38" s="21"/>
      <c r="H38" s="19">
        <f>IF(B38="","",IF(B38="Encaissement",E38,-E38))</f>
      </c>
    </row>
    <row r="39" spans="1:8" x14ac:dyDescent="0.25">
      <c r="A39" s="20"/>
      <c r="B39" s="21"/>
      <c r="C39" s="21"/>
      <c r="D39" s="21"/>
      <c r="E39" s="22"/>
      <c r="F39" s="21"/>
      <c r="G39" s="21"/>
      <c r="H39" s="19">
        <f>IF(B39="","",IF(B39="Encaissement",E39,-E39))</f>
      </c>
    </row>
    <row r="40" spans="1:8" x14ac:dyDescent="0.25">
      <c r="A40" s="20"/>
      <c r="B40" s="21"/>
      <c r="C40" s="21"/>
      <c r="D40" s="21"/>
      <c r="E40" s="22"/>
      <c r="F40" s="21"/>
      <c r="G40" s="21"/>
      <c r="H40" s="19">
        <f>IF(B40="","",IF(B40="Encaissement",E40,-E40))</f>
      </c>
    </row>
    <row r="41" spans="1:8" x14ac:dyDescent="0.25">
      <c r="A41" s="20"/>
      <c r="B41" s="21"/>
      <c r="C41" s="21"/>
      <c r="D41" s="21"/>
      <c r="E41" s="22"/>
      <c r="F41" s="21"/>
      <c r="G41" s="21"/>
      <c r="H41" s="19">
        <f>IF(B41="","",IF(B41="Encaissement",E41,-E41))</f>
      </c>
    </row>
    <row r="42" spans="1:8" x14ac:dyDescent="0.25">
      <c r="A42" s="20"/>
      <c r="B42" s="21"/>
      <c r="C42" s="21"/>
      <c r="D42" s="21"/>
      <c r="E42" s="22"/>
      <c r="F42" s="21"/>
      <c r="G42" s="21"/>
      <c r="H42" s="19">
        <f>IF(B42="","",IF(B42="Encaissement",E42,-E42))</f>
      </c>
    </row>
    <row r="43" spans="1:8" x14ac:dyDescent="0.25">
      <c r="A43" s="20"/>
      <c r="B43" s="21"/>
      <c r="C43" s="21"/>
      <c r="D43" s="21"/>
      <c r="E43" s="22"/>
      <c r="F43" s="21"/>
      <c r="G43" s="21"/>
      <c r="H43" s="19">
        <f>IF(B43="","",IF(B43="Encaissement",E43,-E43))</f>
      </c>
    </row>
    <row r="44" spans="1:8" x14ac:dyDescent="0.25">
      <c r="A44" s="20"/>
      <c r="B44" s="21"/>
      <c r="C44" s="21"/>
      <c r="D44" s="21"/>
      <c r="E44" s="22"/>
      <c r="F44" s="21"/>
      <c r="G44" s="21"/>
      <c r="H44" s="19">
        <f>IF(B44="","",IF(B44="Encaissement",E44,-E44))</f>
      </c>
    </row>
    <row r="45" spans="1:8" x14ac:dyDescent="0.25">
      <c r="A45" s="20"/>
      <c r="B45" s="21"/>
      <c r="C45" s="21"/>
      <c r="D45" s="21"/>
      <c r="E45" s="22"/>
      <c r="F45" s="21"/>
      <c r="G45" s="21"/>
      <c r="H45" s="19">
        <f>IF(B45="","",IF(B45="Encaissement",E45,-E45))</f>
      </c>
    </row>
    <row r="46" spans="1:8" x14ac:dyDescent="0.25">
      <c r="A46" s="20"/>
      <c r="B46" s="21"/>
      <c r="C46" s="21"/>
      <c r="D46" s="21"/>
      <c r="E46" s="22"/>
      <c r="F46" s="21"/>
      <c r="G46" s="21"/>
      <c r="H46" s="19">
        <f>IF(B46="","",IF(B46="Encaissement",E46,-E46))</f>
      </c>
    </row>
    <row r="47" spans="1:8" x14ac:dyDescent="0.25">
      <c r="A47" s="20"/>
      <c r="B47" s="21"/>
      <c r="C47" s="21"/>
      <c r="D47" s="21"/>
      <c r="E47" s="22"/>
      <c r="F47" s="21"/>
      <c r="G47" s="21"/>
      <c r="H47" s="19">
        <f>IF(B47="","",IF(B47="Encaissement",E47,-E47))</f>
      </c>
    </row>
    <row r="48" spans="1:8" x14ac:dyDescent="0.25">
      <c r="A48" s="20"/>
      <c r="B48" s="21"/>
      <c r="C48" s="21"/>
      <c r="D48" s="21"/>
      <c r="E48" s="22"/>
      <c r="F48" s="21"/>
      <c r="G48" s="21"/>
      <c r="H48" s="19">
        <f>IF(B48="","",IF(B48="Encaissement",E48,-E48))</f>
      </c>
    </row>
    <row r="49" spans="1:8" x14ac:dyDescent="0.25">
      <c r="A49" s="20"/>
      <c r="B49" s="21"/>
      <c r="C49" s="21"/>
      <c r="D49" s="21"/>
      <c r="E49" s="22"/>
      <c r="F49" s="21"/>
      <c r="G49" s="21"/>
      <c r="H49" s="19">
        <f>IF(B49="","",IF(B49="Encaissement",E49,-E49))</f>
      </c>
    </row>
    <row r="50" spans="1:8" x14ac:dyDescent="0.25">
      <c r="A50" s="20"/>
      <c r="B50" s="21"/>
      <c r="C50" s="21"/>
      <c r="D50" s="21"/>
      <c r="E50" s="22"/>
      <c r="F50" s="21"/>
      <c r="G50" s="21"/>
      <c r="H50" s="19">
        <f>IF(B50="","",IF(B50="Encaissement",E50,-E50))</f>
      </c>
    </row>
    <row r="51" spans="1:8" x14ac:dyDescent="0.25">
      <c r="A51" s="20"/>
      <c r="B51" s="21"/>
      <c r="C51" s="21"/>
      <c r="D51" s="21"/>
      <c r="E51" s="22"/>
      <c r="F51" s="21"/>
      <c r="G51" s="21"/>
      <c r="H51" s="19">
        <f>IF(B51="","",IF(B51="Encaissement",E51,-E51))</f>
      </c>
    </row>
    <row r="52" spans="1:8" x14ac:dyDescent="0.25">
      <c r="A52" s="20"/>
      <c r="B52" s="21"/>
      <c r="C52" s="21"/>
      <c r="D52" s="21"/>
      <c r="E52" s="22"/>
      <c r="F52" s="21"/>
      <c r="G52" s="21"/>
      <c r="H52" s="19">
        <f>IF(B52="","",IF(B52="Encaissement",E52,-E52))</f>
      </c>
    </row>
    <row r="53" spans="1:8" x14ac:dyDescent="0.25">
      <c r="A53" s="20"/>
      <c r="B53" s="21"/>
      <c r="C53" s="21"/>
      <c r="D53" s="21"/>
      <c r="E53" s="22"/>
      <c r="F53" s="21"/>
      <c r="G53" s="21"/>
      <c r="H53" s="19">
        <f>IF(B53="","",IF(B53="Encaissement",E53,-E53))</f>
      </c>
    </row>
    <row r="54" spans="1:8" x14ac:dyDescent="0.25">
      <c r="A54" s="20"/>
      <c r="B54" s="21"/>
      <c r="C54" s="21"/>
      <c r="D54" s="21"/>
      <c r="E54" s="22"/>
      <c r="F54" s="21"/>
      <c r="G54" s="21"/>
      <c r="H54" s="19">
        <f>IF(B54="","",IF(B54="Encaissement",E54,-E54))</f>
      </c>
    </row>
    <row r="55" spans="1:8" x14ac:dyDescent="0.25">
      <c r="A55" s="20"/>
      <c r="B55" s="21"/>
      <c r="C55" s="21"/>
      <c r="D55" s="21"/>
      <c r="E55" s="22"/>
      <c r="F55" s="21"/>
      <c r="G55" s="21"/>
      <c r="H55" s="19">
        <f>IF(B55="","",IF(B55="Encaissement",E55,-E55))</f>
      </c>
    </row>
    <row r="56" spans="1:8" x14ac:dyDescent="0.25">
      <c r="A56" s="20"/>
      <c r="B56" s="21"/>
      <c r="C56" s="21"/>
      <c r="D56" s="21"/>
      <c r="E56" s="22"/>
      <c r="F56" s="21"/>
      <c r="G56" s="21"/>
      <c r="H56" s="19">
        <f>IF(B56="","",IF(B56="Encaissement",E56,-E56))</f>
      </c>
    </row>
    <row r="57" spans="1:8" x14ac:dyDescent="0.25">
      <c r="A57" s="20"/>
      <c r="B57" s="21"/>
      <c r="C57" s="21"/>
      <c r="D57" s="21"/>
      <c r="E57" s="22"/>
      <c r="F57" s="21"/>
      <c r="G57" s="21"/>
      <c r="H57" s="19">
        <f>IF(B57="","",IF(B57="Encaissement",E57,-E57))</f>
      </c>
    </row>
    <row r="58" spans="1:8" x14ac:dyDescent="0.25">
      <c r="A58" s="20"/>
      <c r="B58" s="21"/>
      <c r="C58" s="21"/>
      <c r="D58" s="21"/>
      <c r="E58" s="22"/>
      <c r="F58" s="21"/>
      <c r="G58" s="21"/>
      <c r="H58" s="19">
        <f>IF(B58="","",IF(B58="Encaissement",E58,-E58))</f>
      </c>
    </row>
    <row r="59" spans="1:8" x14ac:dyDescent="0.25">
      <c r="A59" s="20"/>
      <c r="B59" s="21"/>
      <c r="C59" s="21"/>
      <c r="D59" s="21"/>
      <c r="E59" s="22"/>
      <c r="F59" s="21"/>
      <c r="G59" s="21"/>
      <c r="H59" s="19">
        <f>IF(B59="","",IF(B59="Encaissement",E59,-E59))</f>
      </c>
    </row>
    <row r="60" spans="1:8" x14ac:dyDescent="0.25">
      <c r="A60" s="20"/>
      <c r="B60" s="21"/>
      <c r="C60" s="21"/>
      <c r="D60" s="21"/>
      <c r="E60" s="22"/>
      <c r="F60" s="21"/>
      <c r="G60" s="21"/>
      <c r="H60" s="19">
        <f>IF(B60="","",IF(B60="Encaissement",E60,-E60))</f>
      </c>
    </row>
    <row r="61" spans="1:8" x14ac:dyDescent="0.25">
      <c r="A61" s="20"/>
      <c r="B61" s="21"/>
      <c r="C61" s="21"/>
      <c r="D61" s="21"/>
      <c r="E61" s="22"/>
      <c r="F61" s="21"/>
      <c r="G61" s="21"/>
      <c r="H61" s="19">
        <f>IF(B61="","",IF(B61="Encaissement",E61,-E61))</f>
      </c>
    </row>
    <row r="62" spans="1:8" x14ac:dyDescent="0.25">
      <c r="A62" s="20"/>
      <c r="B62" s="21"/>
      <c r="C62" s="21"/>
      <c r="D62" s="21"/>
      <c r="E62" s="22"/>
      <c r="F62" s="21"/>
      <c r="G62" s="21"/>
      <c r="H62" s="19">
        <f>IF(B62="","",IF(B62="Encaissement",E62,-E62))</f>
      </c>
    </row>
    <row r="63" spans="1:8" x14ac:dyDescent="0.25">
      <c r="A63" s="20"/>
      <c r="B63" s="21"/>
      <c r="C63" s="21"/>
      <c r="D63" s="21"/>
      <c r="E63" s="22"/>
      <c r="F63" s="21"/>
      <c r="G63" s="21"/>
      <c r="H63" s="19">
        <f>IF(B63="","",IF(B63="Encaissement",E63,-E63))</f>
      </c>
    </row>
    <row r="64" spans="1:8" x14ac:dyDescent="0.25">
      <c r="A64" s="20"/>
      <c r="B64" s="21"/>
      <c r="C64" s="21"/>
      <c r="D64" s="21"/>
      <c r="E64" s="22"/>
      <c r="F64" s="21"/>
      <c r="G64" s="21"/>
      <c r="H64" s="19">
        <f>IF(B64="","",IF(B64="Encaissement",E64,-E64))</f>
      </c>
    </row>
    <row r="65" spans="1:8" x14ac:dyDescent="0.25">
      <c r="A65" s="20"/>
      <c r="B65" s="21"/>
      <c r="C65" s="21"/>
      <c r="D65" s="21"/>
      <c r="E65" s="22"/>
      <c r="F65" s="21"/>
      <c r="G65" s="21"/>
      <c r="H65" s="19">
        <f>IF(B65="","",IF(B65="Encaissement",E65,-E65))</f>
      </c>
    </row>
    <row r="66" spans="1:8" x14ac:dyDescent="0.25">
      <c r="A66" s="20"/>
      <c r="B66" s="21"/>
      <c r="C66" s="21"/>
      <c r="D66" s="21"/>
      <c r="E66" s="22"/>
      <c r="F66" s="21"/>
      <c r="G66" s="21"/>
      <c r="H66" s="19">
        <f>IF(B66="","",IF(B66="Encaissement",E66,-E66))</f>
      </c>
    </row>
    <row r="67" spans="1:8" x14ac:dyDescent="0.25">
      <c r="A67" s="20"/>
      <c r="B67" s="21"/>
      <c r="C67" s="21"/>
      <c r="D67" s="21"/>
      <c r="E67" s="22"/>
      <c r="F67" s="21"/>
      <c r="G67" s="21"/>
      <c r="H67" s="19">
        <f>IF(B67="","",IF(B67="Encaissement",E67,-E67))</f>
      </c>
    </row>
    <row r="68" spans="1:8" x14ac:dyDescent="0.25">
      <c r="A68" s="20"/>
      <c r="B68" s="21"/>
      <c r="C68" s="21"/>
      <c r="D68" s="21"/>
      <c r="E68" s="22"/>
      <c r="F68" s="21"/>
      <c r="G68" s="21"/>
      <c r="H68" s="19">
        <f>IF(B68="","",IF(B68="Encaissement",E68,-E68))</f>
      </c>
    </row>
    <row r="69" spans="1:8" x14ac:dyDescent="0.25">
      <c r="A69" s="20"/>
      <c r="B69" s="21"/>
      <c r="C69" s="21"/>
      <c r="D69" s="21"/>
      <c r="E69" s="22"/>
      <c r="F69" s="21"/>
      <c r="G69" s="21"/>
      <c r="H69" s="19">
        <f>IF(B69="","",IF(B69="Encaissement",E69,-E69))</f>
      </c>
    </row>
    <row r="70" spans="1:8" x14ac:dyDescent="0.25">
      <c r="A70" s="20"/>
      <c r="B70" s="21"/>
      <c r="C70" s="21"/>
      <c r="D70" s="21"/>
      <c r="E70" s="22"/>
      <c r="F70" s="21"/>
      <c r="G70" s="21"/>
      <c r="H70" s="19">
        <f>IF(B70="","",IF(B70="Encaissement",E70,-E70))</f>
      </c>
    </row>
    <row r="71" spans="1:8" x14ac:dyDescent="0.25">
      <c r="A71" s="20"/>
      <c r="B71" s="21"/>
      <c r="C71" s="21"/>
      <c r="D71" s="21"/>
      <c r="E71" s="22"/>
      <c r="F71" s="21"/>
      <c r="G71" s="21"/>
      <c r="H71" s="19">
        <f>IF(B71="","",IF(B71="Encaissement",E71,-E71))</f>
      </c>
    </row>
    <row r="72" spans="1:8" x14ac:dyDescent="0.25">
      <c r="A72" s="20"/>
      <c r="B72" s="21"/>
      <c r="C72" s="21"/>
      <c r="D72" s="21"/>
      <c r="E72" s="22"/>
      <c r="F72" s="21"/>
      <c r="G72" s="21"/>
      <c r="H72" s="19">
        <f>IF(B72="","",IF(B72="Encaissement",E72,-E72))</f>
      </c>
    </row>
    <row r="73" spans="1:8" x14ac:dyDescent="0.25">
      <c r="A73" s="20"/>
      <c r="B73" s="21"/>
      <c r="C73" s="21"/>
      <c r="D73" s="21"/>
      <c r="E73" s="22"/>
      <c r="F73" s="21"/>
      <c r="G73" s="21"/>
      <c r="H73" s="19">
        <f>IF(B73="","",IF(B73="Encaissement",E73,-E73))</f>
      </c>
    </row>
    <row r="74" spans="1:8" x14ac:dyDescent="0.25">
      <c r="A74" s="20"/>
      <c r="B74" s="21"/>
      <c r="C74" s="21"/>
      <c r="D74" s="21"/>
      <c r="E74" s="22"/>
      <c r="F74" s="21"/>
      <c r="G74" s="21"/>
      <c r="H74" s="19">
        <f>IF(B74="","",IF(B74="Encaissement",E74,-E74))</f>
      </c>
    </row>
    <row r="75" spans="1:8" x14ac:dyDescent="0.25">
      <c r="A75" s="20"/>
      <c r="B75" s="21"/>
      <c r="C75" s="21"/>
      <c r="D75" s="21"/>
      <c r="E75" s="22"/>
      <c r="F75" s="21"/>
      <c r="G75" s="21"/>
      <c r="H75" s="19">
        <f>IF(B75="","",IF(B75="Encaissement",E75,-E75))</f>
      </c>
    </row>
    <row r="76" spans="1:8" x14ac:dyDescent="0.25">
      <c r="A76" s="20"/>
      <c r="B76" s="21"/>
      <c r="C76" s="21"/>
      <c r="D76" s="21"/>
      <c r="E76" s="22"/>
      <c r="F76" s="21"/>
      <c r="G76" s="21"/>
      <c r="H76" s="19">
        <f>IF(B76="","",IF(B76="Encaissement",E76,-E76))</f>
      </c>
    </row>
    <row r="77" spans="1:8" x14ac:dyDescent="0.25">
      <c r="A77" s="20"/>
      <c r="B77" s="21"/>
      <c r="C77" s="21"/>
      <c r="D77" s="21"/>
      <c r="E77" s="22"/>
      <c r="F77" s="21"/>
      <c r="G77" s="21"/>
      <c r="H77" s="19">
        <f>IF(B77="","",IF(B77="Encaissement",E77,-E77))</f>
      </c>
    </row>
    <row r="78" spans="1:8" x14ac:dyDescent="0.25">
      <c r="A78" s="20"/>
      <c r="B78" s="21"/>
      <c r="C78" s="21"/>
      <c r="D78" s="21"/>
      <c r="E78" s="22"/>
      <c r="F78" s="21"/>
      <c r="G78" s="21"/>
      <c r="H78" s="19">
        <f>IF(B78="","",IF(B78="Encaissement",E78,-E78))</f>
      </c>
    </row>
    <row r="79" spans="1:8" x14ac:dyDescent="0.25">
      <c r="A79" s="20"/>
      <c r="B79" s="21"/>
      <c r="C79" s="21"/>
      <c r="D79" s="21"/>
      <c r="E79" s="22"/>
      <c r="F79" s="21"/>
      <c r="G79" s="21"/>
      <c r="H79" s="19">
        <f>IF(B79="","",IF(B79="Encaissement",E79,-E79))</f>
      </c>
    </row>
    <row r="80" spans="1:8" x14ac:dyDescent="0.25">
      <c r="A80" s="20"/>
      <c r="B80" s="21"/>
      <c r="C80" s="21"/>
      <c r="D80" s="21"/>
      <c r="E80" s="22"/>
      <c r="F80" s="21"/>
      <c r="G80" s="21"/>
      <c r="H80" s="19">
        <f>IF(B80="","",IF(B80="Encaissement",E80,-E80))</f>
      </c>
    </row>
    <row r="81" spans="1:8" x14ac:dyDescent="0.25">
      <c r="A81" s="20"/>
      <c r="B81" s="21"/>
      <c r="C81" s="21"/>
      <c r="D81" s="21"/>
      <c r="E81" s="22"/>
      <c r="F81" s="21"/>
      <c r="G81" s="21"/>
      <c r="H81" s="19">
        <f>IF(B81="","",IF(B81="Encaissement",E81,-E81))</f>
      </c>
    </row>
    <row r="82" spans="1:8" x14ac:dyDescent="0.25">
      <c r="A82" s="20"/>
      <c r="B82" s="21"/>
      <c r="C82" s="21"/>
      <c r="D82" s="21"/>
      <c r="E82" s="22"/>
      <c r="F82" s="21"/>
      <c r="G82" s="21"/>
      <c r="H82" s="19">
        <f>IF(B82="","",IF(B82="Encaissement",E82,-E82))</f>
      </c>
    </row>
    <row r="83" spans="1:8" x14ac:dyDescent="0.25">
      <c r="A83" s="20"/>
      <c r="B83" s="21"/>
      <c r="C83" s="21"/>
      <c r="D83" s="21"/>
      <c r="E83" s="22"/>
      <c r="F83" s="21"/>
      <c r="G83" s="21"/>
      <c r="H83" s="19">
        <f>IF(B83="","",IF(B83="Encaissement",E83,-E83))</f>
      </c>
    </row>
    <row r="84" spans="1:8" x14ac:dyDescent="0.25">
      <c r="A84" s="20"/>
      <c r="B84" s="21"/>
      <c r="C84" s="21"/>
      <c r="D84" s="21"/>
      <c r="E84" s="22"/>
      <c r="F84" s="21"/>
      <c r="G84" s="21"/>
      <c r="H84" s="19">
        <f>IF(B84="","",IF(B84="Encaissement",E84,-E84))</f>
      </c>
    </row>
    <row r="85" spans="1:8" x14ac:dyDescent="0.25">
      <c r="A85" s="20"/>
      <c r="B85" s="21"/>
      <c r="C85" s="21"/>
      <c r="D85" s="21"/>
      <c r="E85" s="22"/>
      <c r="F85" s="21"/>
      <c r="G85" s="21"/>
      <c r="H85" s="19">
        <f>IF(B85="","",IF(B85="Encaissement",E85,-E85))</f>
      </c>
    </row>
    <row r="86" spans="1:8" x14ac:dyDescent="0.25">
      <c r="A86" s="20"/>
      <c r="B86" s="21"/>
      <c r="C86" s="21"/>
      <c r="D86" s="21"/>
      <c r="E86" s="22"/>
      <c r="F86" s="21"/>
      <c r="G86" s="21"/>
      <c r="H86" s="19">
        <f>IF(B86="","",IF(B86="Encaissement",E86,-E86))</f>
      </c>
    </row>
    <row r="87" spans="1:8" x14ac:dyDescent="0.25">
      <c r="A87" s="20"/>
      <c r="B87" s="21"/>
      <c r="C87" s="21"/>
      <c r="D87" s="21"/>
      <c r="E87" s="22"/>
      <c r="F87" s="21"/>
      <c r="G87" s="21"/>
      <c r="H87" s="19">
        <f>IF(B87="","",IF(B87="Encaissement",E87,-E87))</f>
      </c>
    </row>
    <row r="88" spans="1:8" x14ac:dyDescent="0.25">
      <c r="A88" s="20"/>
      <c r="B88" s="21"/>
      <c r="C88" s="21"/>
      <c r="D88" s="21"/>
      <c r="E88" s="22"/>
      <c r="F88" s="21"/>
      <c r="G88" s="21"/>
      <c r="H88" s="19">
        <f>IF(B88="","",IF(B88="Encaissement",E88,-E88))</f>
      </c>
    </row>
    <row r="89" spans="1:8" x14ac:dyDescent="0.25">
      <c r="A89" s="20"/>
      <c r="B89" s="21"/>
      <c r="C89" s="21"/>
      <c r="D89" s="21"/>
      <c r="E89" s="22"/>
      <c r="F89" s="21"/>
      <c r="G89" s="21"/>
      <c r="H89" s="19">
        <f>IF(B89="","",IF(B89="Encaissement",E89,-E89))</f>
      </c>
    </row>
    <row r="90" spans="1:8" x14ac:dyDescent="0.25">
      <c r="A90" s="20"/>
      <c r="B90" s="21"/>
      <c r="C90" s="21"/>
      <c r="D90" s="21"/>
      <c r="E90" s="22"/>
      <c r="F90" s="21"/>
      <c r="G90" s="21"/>
      <c r="H90" s="19">
        <f>IF(B90="","",IF(B90="Encaissement",E90,-E90))</f>
      </c>
    </row>
    <row r="91" spans="1:8" x14ac:dyDescent="0.25">
      <c r="A91" s="20"/>
      <c r="B91" s="21"/>
      <c r="C91" s="21"/>
      <c r="D91" s="21"/>
      <c r="E91" s="22"/>
      <c r="F91" s="21"/>
      <c r="G91" s="21"/>
      <c r="H91" s="19">
        <f>IF(B91="","",IF(B91="Encaissement",E91,-E91))</f>
      </c>
    </row>
    <row r="92" spans="1:8" x14ac:dyDescent="0.25">
      <c r="A92" s="20"/>
      <c r="B92" s="21"/>
      <c r="C92" s="21"/>
      <c r="D92" s="21"/>
      <c r="E92" s="22"/>
      <c r="F92" s="21"/>
      <c r="G92" s="21"/>
      <c r="H92" s="19">
        <f>IF(B92="","",IF(B92="Encaissement",E92,-E92))</f>
      </c>
    </row>
    <row r="93" spans="1:8" x14ac:dyDescent="0.25">
      <c r="A93" s="20"/>
      <c r="B93" s="21"/>
      <c r="C93" s="21"/>
      <c r="D93" s="21"/>
      <c r="E93" s="22"/>
      <c r="F93" s="21"/>
      <c r="G93" s="21"/>
      <c r="H93" s="19">
        <f>IF(B93="","",IF(B93="Encaissement",E93,-E93))</f>
      </c>
    </row>
    <row r="94" spans="1:8" x14ac:dyDescent="0.25">
      <c r="A94" s="20"/>
      <c r="B94" s="21"/>
      <c r="C94" s="21"/>
      <c r="D94" s="21"/>
      <c r="E94" s="22"/>
      <c r="F94" s="21"/>
      <c r="G94" s="21"/>
      <c r="H94" s="19">
        <f>IF(B94="","",IF(B94="Encaissement",E94,-E94))</f>
      </c>
    </row>
    <row r="95" spans="1:8" x14ac:dyDescent="0.25">
      <c r="A95" s="20"/>
      <c r="B95" s="21"/>
      <c r="C95" s="21"/>
      <c r="D95" s="21"/>
      <c r="E95" s="22"/>
      <c r="F95" s="21"/>
      <c r="G95" s="21"/>
      <c r="H95" s="19">
        <f>IF(B95="","",IF(B95="Encaissement",E95,-E95))</f>
      </c>
    </row>
    <row r="96" spans="1:8" x14ac:dyDescent="0.25">
      <c r="A96" s="20"/>
      <c r="B96" s="21"/>
      <c r="C96" s="21"/>
      <c r="D96" s="21"/>
      <c r="E96" s="22"/>
      <c r="F96" s="21"/>
      <c r="G96" s="21"/>
      <c r="H96" s="19">
        <f>IF(B96="","",IF(B96="Encaissement",E96,-E96))</f>
      </c>
    </row>
    <row r="97" spans="1:8" x14ac:dyDescent="0.25">
      <c r="A97" s="20"/>
      <c r="B97" s="21"/>
      <c r="C97" s="21"/>
      <c r="D97" s="21"/>
      <c r="E97" s="22"/>
      <c r="F97" s="21"/>
      <c r="G97" s="21"/>
      <c r="H97" s="19">
        <f>IF(B97="","",IF(B97="Encaissement",E97,-E97))</f>
      </c>
    </row>
    <row r="98" spans="1:8" x14ac:dyDescent="0.25">
      <c r="A98" s="20"/>
      <c r="B98" s="21"/>
      <c r="C98" s="21"/>
      <c r="D98" s="21"/>
      <c r="E98" s="22"/>
      <c r="F98" s="21"/>
      <c r="G98" s="21"/>
      <c r="H98" s="19">
        <f>IF(B98="","",IF(B98="Encaissement",E98,-E98))</f>
      </c>
    </row>
    <row r="99" spans="1:8" x14ac:dyDescent="0.25">
      <c r="A99" s="20"/>
      <c r="B99" s="21"/>
      <c r="C99" s="21"/>
      <c r="D99" s="21"/>
      <c r="E99" s="22"/>
      <c r="F99" s="21"/>
      <c r="G99" s="21"/>
      <c r="H99" s="19">
        <f>IF(B99="","",IF(B99="Encaissement",E99,-E99))</f>
      </c>
    </row>
    <row r="100" spans="1:8" x14ac:dyDescent="0.25">
      <c r="A100" s="20"/>
      <c r="B100" s="21"/>
      <c r="C100" s="21"/>
      <c r="D100" s="21"/>
      <c r="E100" s="22"/>
      <c r="F100" s="21"/>
      <c r="G100" s="21"/>
      <c r="H100" s="19">
        <f>IF(B100="","",IF(B100="Encaissement",E100,-E100))</f>
      </c>
    </row>
    <row r="101" spans="1:8" x14ac:dyDescent="0.25">
      <c r="A101" s="20"/>
      <c r="B101" s="21"/>
      <c r="C101" s="21"/>
      <c r="D101" s="21"/>
      <c r="E101" s="22"/>
      <c r="F101" s="21"/>
      <c r="G101" s="21"/>
      <c r="H101" s="19">
        <f>IF(B101="","",IF(B101="Encaissement",E101,-E101))</f>
      </c>
    </row>
    <row r="102" spans="1:8" x14ac:dyDescent="0.25">
      <c r="A102" s="20"/>
      <c r="B102" s="21"/>
      <c r="C102" s="21"/>
      <c r="D102" s="21"/>
      <c r="E102" s="22"/>
      <c r="F102" s="21"/>
      <c r="G102" s="21"/>
      <c r="H102" s="19">
        <f>IF(B102="","",IF(B102="Encaissement",E102,-E102))</f>
      </c>
    </row>
    <row r="103" spans="1:8" x14ac:dyDescent="0.25">
      <c r="A103" s="20"/>
      <c r="B103" s="21"/>
      <c r="C103" s="21"/>
      <c r="D103" s="21"/>
      <c r="E103" s="22"/>
      <c r="F103" s="21"/>
      <c r="G103" s="21"/>
      <c r="H103" s="19">
        <f>IF(B103="","",IF(B103="Encaissement",E103,-E103))</f>
      </c>
    </row>
    <row r="104" spans="1:8" x14ac:dyDescent="0.25">
      <c r="A104" s="20"/>
      <c r="B104" s="21"/>
      <c r="C104" s="21"/>
      <c r="D104" s="21"/>
      <c r="E104" s="22"/>
      <c r="F104" s="21"/>
      <c r="G104" s="21"/>
      <c r="H104" s="19">
        <f>IF(B104="","",IF(B104="Encaissement",E104,-E104))</f>
      </c>
    </row>
    <row r="105" spans="1:8" x14ac:dyDescent="0.25">
      <c r="A105" s="20"/>
      <c r="B105" s="21"/>
      <c r="C105" s="21"/>
      <c r="D105" s="21"/>
      <c r="E105" s="22"/>
      <c r="F105" s="21"/>
      <c r="G105" s="21"/>
      <c r="H105" s="19">
        <f>IF(B105="","",IF(B105="Encaissement",E105,-E105))</f>
      </c>
    </row>
    <row r="106" spans="1:8" x14ac:dyDescent="0.25">
      <c r="A106" s="20"/>
      <c r="B106" s="21"/>
      <c r="C106" s="21"/>
      <c r="D106" s="21"/>
      <c r="E106" s="22"/>
      <c r="F106" s="21"/>
      <c r="G106" s="21"/>
      <c r="H106" s="19">
        <f>IF(B106="","",IF(B106="Encaissement",E106,-E106))</f>
      </c>
    </row>
    <row r="107" spans="1:8" x14ac:dyDescent="0.25">
      <c r="A107" s="20"/>
      <c r="B107" s="21"/>
      <c r="C107" s="21"/>
      <c r="D107" s="21"/>
      <c r="E107" s="22"/>
      <c r="F107" s="21"/>
      <c r="G107" s="21"/>
      <c r="H107" s="19">
        <f>IF(B107="","",IF(B107="Encaissement",E107,-E107))</f>
      </c>
    </row>
    <row r="108" spans="1:8" x14ac:dyDescent="0.25">
      <c r="A108" s="20"/>
      <c r="B108" s="21"/>
      <c r="C108" s="21"/>
      <c r="D108" s="21"/>
      <c r="E108" s="22"/>
      <c r="F108" s="21"/>
      <c r="G108" s="21"/>
      <c r="H108" s="19">
        <f>IF(B108="","",IF(B108="Encaissement",E108,-E108))</f>
      </c>
    </row>
    <row r="109" spans="1:8" x14ac:dyDescent="0.25">
      <c r="A109" s="20"/>
      <c r="B109" s="21"/>
      <c r="C109" s="21"/>
      <c r="D109" s="21"/>
      <c r="E109" s="22"/>
      <c r="F109" s="21"/>
      <c r="G109" s="21"/>
      <c r="H109" s="19">
        <f>IF(B109="","",IF(B109="Encaissement",E109,-E109))</f>
      </c>
    </row>
    <row r="110" spans="1:8" x14ac:dyDescent="0.25">
      <c r="A110" s="20"/>
      <c r="B110" s="21"/>
      <c r="C110" s="21"/>
      <c r="D110" s="21"/>
      <c r="E110" s="22"/>
      <c r="F110" s="21"/>
      <c r="G110" s="21"/>
      <c r="H110" s="19">
        <f>IF(B110="","",IF(B110="Encaissement",E110,-E110))</f>
      </c>
    </row>
    <row r="111" spans="1:8" x14ac:dyDescent="0.25">
      <c r="A111" s="20"/>
      <c r="B111" s="21"/>
      <c r="C111" s="21"/>
      <c r="D111" s="21"/>
      <c r="E111" s="22"/>
      <c r="F111" s="21"/>
      <c r="G111" s="21"/>
      <c r="H111" s="19">
        <f>IF(B111="","",IF(B111="Encaissement",E111,-E111))</f>
      </c>
    </row>
    <row r="112" spans="1:8" x14ac:dyDescent="0.25">
      <c r="A112" s="20"/>
      <c r="B112" s="21"/>
      <c r="C112" s="21"/>
      <c r="D112" s="21"/>
      <c r="E112" s="22"/>
      <c r="F112" s="21"/>
      <c r="G112" s="21"/>
      <c r="H112" s="19">
        <f>IF(B112="","",IF(B112="Encaissement",E112,-E112))</f>
      </c>
    </row>
    <row r="113" spans="1:8" x14ac:dyDescent="0.25">
      <c r="A113" s="20"/>
      <c r="B113" s="21"/>
      <c r="C113" s="21"/>
      <c r="D113" s="21"/>
      <c r="E113" s="22"/>
      <c r="F113" s="21"/>
      <c r="G113" s="21"/>
      <c r="H113" s="19">
        <f>IF(B113="","",IF(B113="Encaissement",E113,-E113))</f>
      </c>
    </row>
    <row r="114" spans="1:8" x14ac:dyDescent="0.25">
      <c r="A114" s="20"/>
      <c r="B114" s="21"/>
      <c r="C114" s="21"/>
      <c r="D114" s="21"/>
      <c r="E114" s="22"/>
      <c r="F114" s="21"/>
      <c r="G114" s="21"/>
      <c r="H114" s="19">
        <f>IF(B114="","",IF(B114="Encaissement",E114,-E114))</f>
      </c>
    </row>
    <row r="115" spans="1:8" x14ac:dyDescent="0.25">
      <c r="A115" s="20"/>
      <c r="B115" s="21"/>
      <c r="C115" s="21"/>
      <c r="D115" s="21"/>
      <c r="E115" s="22"/>
      <c r="F115" s="21"/>
      <c r="G115" s="21"/>
      <c r="H115" s="19">
        <f>IF(B115="","",IF(B115="Encaissement",E115,-E115))</f>
      </c>
    </row>
    <row r="116" spans="1:8" x14ac:dyDescent="0.25">
      <c r="A116" s="20"/>
      <c r="B116" s="21"/>
      <c r="C116" s="21"/>
      <c r="D116" s="21"/>
      <c r="E116" s="22"/>
      <c r="F116" s="21"/>
      <c r="G116" s="21"/>
      <c r="H116" s="19">
        <f>IF(B116="","",IF(B116="Encaissement",E116,-E116))</f>
      </c>
    </row>
    <row r="117" spans="1:8" x14ac:dyDescent="0.25">
      <c r="A117" s="20"/>
      <c r="B117" s="21"/>
      <c r="C117" s="21"/>
      <c r="D117" s="21"/>
      <c r="E117" s="22"/>
      <c r="F117" s="21"/>
      <c r="G117" s="21"/>
      <c r="H117" s="19">
        <f>IF(B117="","",IF(B117="Encaissement",E117,-E117))</f>
      </c>
    </row>
    <row r="118" spans="1:8" x14ac:dyDescent="0.25">
      <c r="A118" s="20"/>
      <c r="B118" s="21"/>
      <c r="C118" s="21"/>
      <c r="D118" s="21"/>
      <c r="E118" s="22"/>
      <c r="F118" s="21"/>
      <c r="G118" s="21"/>
      <c r="H118" s="19">
        <f>IF(B118="","",IF(B118="Encaissement",E118,-E118))</f>
      </c>
    </row>
    <row r="119" spans="1:8" x14ac:dyDescent="0.25">
      <c r="A119" s="20"/>
      <c r="B119" s="21"/>
      <c r="C119" s="21"/>
      <c r="D119" s="21"/>
      <c r="E119" s="22"/>
      <c r="F119" s="21"/>
      <c r="G119" s="21"/>
      <c r="H119" s="19">
        <f>IF(B119="","",IF(B119="Encaissement",E119,-E119))</f>
      </c>
    </row>
    <row r="120" spans="1:8" x14ac:dyDescent="0.25">
      <c r="A120" s="20"/>
      <c r="B120" s="21"/>
      <c r="C120" s="21"/>
      <c r="D120" s="21"/>
      <c r="E120" s="22"/>
      <c r="F120" s="21"/>
      <c r="G120" s="21"/>
      <c r="H120" s="19">
        <f>IF(B120="","",IF(B120="Encaissement",E120,-E120))</f>
      </c>
    </row>
    <row r="121" spans="1:8" x14ac:dyDescent="0.25">
      <c r="A121" s="20"/>
      <c r="B121" s="21"/>
      <c r="C121" s="21"/>
      <c r="D121" s="21"/>
      <c r="E121" s="22"/>
      <c r="F121" s="21"/>
      <c r="G121" s="21"/>
      <c r="H121" s="19">
        <f>IF(B121="","",IF(B121="Encaissement",E121,-E121))</f>
      </c>
    </row>
    <row r="122" spans="1:8" x14ac:dyDescent="0.25">
      <c r="A122" s="20"/>
      <c r="B122" s="21"/>
      <c r="C122" s="21"/>
      <c r="D122" s="21"/>
      <c r="E122" s="22"/>
      <c r="F122" s="21"/>
      <c r="G122" s="21"/>
      <c r="H122" s="19">
        <f>IF(B122="","",IF(B122="Encaissement",E122,-E122))</f>
      </c>
    </row>
    <row r="123" spans="1:8" x14ac:dyDescent="0.25">
      <c r="A123" s="20"/>
      <c r="B123" s="21"/>
      <c r="C123" s="21"/>
      <c r="D123" s="21"/>
      <c r="E123" s="22"/>
      <c r="F123" s="21"/>
      <c r="G123" s="21"/>
      <c r="H123" s="19">
        <f>IF(B123="","",IF(B123="Encaissement",E123,-E123))</f>
      </c>
    </row>
    <row r="124" spans="1:8" x14ac:dyDescent="0.25">
      <c r="A124" s="20"/>
      <c r="B124" s="21"/>
      <c r="C124" s="21"/>
      <c r="D124" s="21"/>
      <c r="E124" s="22"/>
      <c r="F124" s="21"/>
      <c r="G124" s="21"/>
      <c r="H124" s="19">
        <f>IF(B124="","",IF(B124="Encaissement",E124,-E124))</f>
      </c>
    </row>
    <row r="125" spans="1:8" x14ac:dyDescent="0.25">
      <c r="A125" s="20"/>
      <c r="B125" s="21"/>
      <c r="C125" s="21"/>
      <c r="D125" s="21"/>
      <c r="E125" s="22"/>
      <c r="F125" s="21"/>
      <c r="G125" s="21"/>
      <c r="H125" s="19">
        <f>IF(B125="","",IF(B125="Encaissement",E125,-E125))</f>
      </c>
    </row>
    <row r="126" spans="1:8" x14ac:dyDescent="0.25">
      <c r="A126" s="20"/>
      <c r="B126" s="21"/>
      <c r="C126" s="21"/>
      <c r="D126" s="21"/>
      <c r="E126" s="22"/>
      <c r="F126" s="21"/>
      <c r="G126" s="21"/>
      <c r="H126" s="19">
        <f>IF(B126="","",IF(B126="Encaissement",E126,-E126))</f>
      </c>
    </row>
    <row r="127" spans="1:8" x14ac:dyDescent="0.25">
      <c r="A127" s="20"/>
      <c r="B127" s="21"/>
      <c r="C127" s="21"/>
      <c r="D127" s="21"/>
      <c r="E127" s="22"/>
      <c r="F127" s="21"/>
      <c r="G127" s="21"/>
      <c r="H127" s="19">
        <f>IF(B127="","",IF(B127="Encaissement",E127,-E127))</f>
      </c>
    </row>
    <row r="128" spans="1:8" x14ac:dyDescent="0.25">
      <c r="A128" s="20"/>
      <c r="B128" s="21"/>
      <c r="C128" s="21"/>
      <c r="D128" s="21"/>
      <c r="E128" s="22"/>
      <c r="F128" s="21"/>
      <c r="G128" s="21"/>
      <c r="H128" s="19">
        <f>IF(B128="","",IF(B128="Encaissement",E128,-E128))</f>
      </c>
    </row>
    <row r="129" spans="1:8" x14ac:dyDescent="0.25">
      <c r="A129" s="20"/>
      <c r="B129" s="21"/>
      <c r="C129" s="21"/>
      <c r="D129" s="21"/>
      <c r="E129" s="22"/>
      <c r="F129" s="21"/>
      <c r="G129" s="21"/>
      <c r="H129" s="19">
        <f>IF(B129="","",IF(B129="Encaissement",E129,-E129))</f>
      </c>
    </row>
    <row r="130" spans="1:8" x14ac:dyDescent="0.25">
      <c r="A130" s="20"/>
      <c r="B130" s="21"/>
      <c r="C130" s="21"/>
      <c r="D130" s="21"/>
      <c r="E130" s="22"/>
      <c r="F130" s="21"/>
      <c r="G130" s="21"/>
      <c r="H130" s="19">
        <f>IF(B130="","",IF(B130="Encaissement",E130,-E130))</f>
      </c>
    </row>
    <row r="131" spans="1:8" x14ac:dyDescent="0.25">
      <c r="A131" s="20"/>
      <c r="B131" s="21"/>
      <c r="C131" s="21"/>
      <c r="D131" s="21"/>
      <c r="E131" s="22"/>
      <c r="F131" s="21"/>
      <c r="G131" s="21"/>
      <c r="H131" s="19">
        <f>IF(B131="","",IF(B131="Encaissement",E131,-E131))</f>
      </c>
    </row>
    <row r="132" spans="1:8" x14ac:dyDescent="0.25">
      <c r="A132" s="20"/>
      <c r="B132" s="21"/>
      <c r="C132" s="21"/>
      <c r="D132" s="21"/>
      <c r="E132" s="22"/>
      <c r="F132" s="21"/>
      <c r="G132" s="21"/>
      <c r="H132" s="19">
        <f>IF(B132="","",IF(B132="Encaissement",E132,-E132))</f>
      </c>
    </row>
    <row r="133" spans="1:8" x14ac:dyDescent="0.25">
      <c r="A133" s="20"/>
      <c r="B133" s="21"/>
      <c r="C133" s="21"/>
      <c r="D133" s="21"/>
      <c r="E133" s="22"/>
      <c r="F133" s="21"/>
      <c r="G133" s="21"/>
      <c r="H133" s="19">
        <f>IF(B133="","",IF(B133="Encaissement",E133,-E133))</f>
      </c>
    </row>
    <row r="134" spans="1:8" x14ac:dyDescent="0.25">
      <c r="A134" s="20"/>
      <c r="B134" s="21"/>
      <c r="C134" s="21"/>
      <c r="D134" s="21"/>
      <c r="E134" s="22"/>
      <c r="F134" s="21"/>
      <c r="G134" s="21"/>
      <c r="H134" s="19">
        <f>IF(B134="","",IF(B134="Encaissement",E134,-E134))</f>
      </c>
    </row>
    <row r="135" spans="1:8" x14ac:dyDescent="0.25">
      <c r="A135" s="20"/>
      <c r="B135" s="21"/>
      <c r="C135" s="21"/>
      <c r="D135" s="21"/>
      <c r="E135" s="22"/>
      <c r="F135" s="21"/>
      <c r="G135" s="21"/>
      <c r="H135" s="19">
        <f>IF(B135="","",IF(B135="Encaissement",E135,-E135))</f>
      </c>
    </row>
    <row r="136" spans="1:8" x14ac:dyDescent="0.25">
      <c r="A136" s="20"/>
      <c r="B136" s="21"/>
      <c r="C136" s="21"/>
      <c r="D136" s="21"/>
      <c r="E136" s="22"/>
      <c r="F136" s="21"/>
      <c r="G136" s="21"/>
      <c r="H136" s="19">
        <f>IF(B136="","",IF(B136="Encaissement",E136,-E136))</f>
      </c>
    </row>
    <row r="137" spans="1:8" x14ac:dyDescent="0.25">
      <c r="A137" s="20"/>
      <c r="B137" s="21"/>
      <c r="C137" s="21"/>
      <c r="D137" s="21"/>
      <c r="E137" s="22"/>
      <c r="F137" s="21"/>
      <c r="G137" s="21"/>
      <c r="H137" s="19">
        <f>IF(B137="","",IF(B137="Encaissement",E137,-E137))</f>
      </c>
    </row>
    <row r="138" spans="1:8" x14ac:dyDescent="0.25">
      <c r="A138" s="20"/>
      <c r="B138" s="21"/>
      <c r="C138" s="21"/>
      <c r="D138" s="21"/>
      <c r="E138" s="22"/>
      <c r="F138" s="21"/>
      <c r="G138" s="21"/>
      <c r="H138" s="19">
        <f>IF(B138="","",IF(B138="Encaissement",E138,-E138))</f>
      </c>
    </row>
    <row r="139" spans="1:8" x14ac:dyDescent="0.25">
      <c r="A139" s="20"/>
      <c r="B139" s="21"/>
      <c r="C139" s="21"/>
      <c r="D139" s="21"/>
      <c r="E139" s="22"/>
      <c r="F139" s="21"/>
      <c r="G139" s="21"/>
      <c r="H139" s="19">
        <f>IF(B139="","",IF(B139="Encaissement",E139,-E139))</f>
      </c>
    </row>
    <row r="140" spans="1:8" x14ac:dyDescent="0.25">
      <c r="A140" s="20"/>
      <c r="B140" s="21"/>
      <c r="C140" s="21"/>
      <c r="D140" s="21"/>
      <c r="E140" s="22"/>
      <c r="F140" s="21"/>
      <c r="G140" s="21"/>
      <c r="H140" s="19">
        <f>IF(B140="","",IF(B140="Encaissement",E140,-E140))</f>
      </c>
    </row>
    <row r="141" spans="1:8" x14ac:dyDescent="0.25">
      <c r="A141" s="20"/>
      <c r="B141" s="21"/>
      <c r="C141" s="21"/>
      <c r="D141" s="21"/>
      <c r="E141" s="22"/>
      <c r="F141" s="21"/>
      <c r="G141" s="21"/>
      <c r="H141" s="19">
        <f>IF(B141="","",IF(B141="Encaissement",E141,-E141))</f>
      </c>
    </row>
    <row r="142" spans="1:8" x14ac:dyDescent="0.25">
      <c r="A142" s="20"/>
      <c r="B142" s="21"/>
      <c r="C142" s="21"/>
      <c r="D142" s="21"/>
      <c r="E142" s="22"/>
      <c r="F142" s="21"/>
      <c r="G142" s="21"/>
      <c r="H142" s="19">
        <f>IF(B142="","",IF(B142="Encaissement",E142,-E142))</f>
      </c>
    </row>
    <row r="143" spans="1:8" x14ac:dyDescent="0.25">
      <c r="A143" s="20"/>
      <c r="B143" s="21"/>
      <c r="C143" s="21"/>
      <c r="D143" s="21"/>
      <c r="E143" s="22"/>
      <c r="F143" s="21"/>
      <c r="G143" s="21"/>
      <c r="H143" s="19">
        <f>IF(B143="","",IF(B143="Encaissement",E143,-E143))</f>
      </c>
    </row>
    <row r="144" spans="1:8" x14ac:dyDescent="0.25">
      <c r="A144" s="20"/>
      <c r="B144" s="21"/>
      <c r="C144" s="21"/>
      <c r="D144" s="21"/>
      <c r="E144" s="22"/>
      <c r="F144" s="21"/>
      <c r="G144" s="21"/>
      <c r="H144" s="19">
        <f>IF(B144="","",IF(B144="Encaissement",E144,-E144))</f>
      </c>
    </row>
    <row r="145" spans="1:8" x14ac:dyDescent="0.25">
      <c r="A145" s="20"/>
      <c r="B145" s="21"/>
      <c r="C145" s="21"/>
      <c r="D145" s="21"/>
      <c r="E145" s="22"/>
      <c r="F145" s="21"/>
      <c r="G145" s="21"/>
      <c r="H145" s="19">
        <f>IF(B145="","",IF(B145="Encaissement",E145,-E145))</f>
      </c>
    </row>
    <row r="146" spans="1:8" x14ac:dyDescent="0.25">
      <c r="A146" s="20"/>
      <c r="B146" s="21"/>
      <c r="C146" s="21"/>
      <c r="D146" s="21"/>
      <c r="E146" s="22"/>
      <c r="F146" s="21"/>
      <c r="G146" s="21"/>
      <c r="H146" s="19">
        <f>IF(B146="","",IF(B146="Encaissement",E146,-E146))</f>
      </c>
    </row>
    <row r="147" spans="1:8" x14ac:dyDescent="0.25">
      <c r="A147" s="20"/>
      <c r="B147" s="21"/>
      <c r="C147" s="21"/>
      <c r="D147" s="21"/>
      <c r="E147" s="22"/>
      <c r="F147" s="21"/>
      <c r="G147" s="21"/>
      <c r="H147" s="19">
        <f>IF(B147="","",IF(B147="Encaissement",E147,-E147))</f>
      </c>
    </row>
    <row r="148" spans="1:8" x14ac:dyDescent="0.25">
      <c r="A148" s="20"/>
      <c r="B148" s="21"/>
      <c r="C148" s="21"/>
      <c r="D148" s="21"/>
      <c r="E148" s="22"/>
      <c r="F148" s="21"/>
      <c r="G148" s="21"/>
      <c r="H148" s="19">
        <f>IF(B148="","",IF(B148="Encaissement",E148,-E148))</f>
      </c>
    </row>
    <row r="149" spans="1:8" x14ac:dyDescent="0.25">
      <c r="A149" s="20"/>
      <c r="B149" s="21"/>
      <c r="C149" s="21"/>
      <c r="D149" s="21"/>
      <c r="E149" s="22"/>
      <c r="F149" s="21"/>
      <c r="G149" s="21"/>
      <c r="H149" s="19">
        <f>IF(B149="","",IF(B149="Encaissement",E149,-E149))</f>
      </c>
    </row>
    <row r="150" spans="1:8" x14ac:dyDescent="0.25">
      <c r="A150" s="20"/>
      <c r="B150" s="21"/>
      <c r="C150" s="21"/>
      <c r="D150" s="21"/>
      <c r="E150" s="22"/>
      <c r="F150" s="21"/>
      <c r="G150" s="21"/>
      <c r="H150" s="19">
        <f>IF(B150="","",IF(B150="Encaissement",E150,-E150))</f>
      </c>
    </row>
    <row r="151" spans="1:8" x14ac:dyDescent="0.25">
      <c r="A151" s="20"/>
      <c r="B151" s="21"/>
      <c r="C151" s="21"/>
      <c r="D151" s="21"/>
      <c r="E151" s="22"/>
      <c r="F151" s="21"/>
      <c r="G151" s="21"/>
      <c r="H151" s="19">
        <f>IF(B151="","",IF(B151="Encaissement",E151,-E151))</f>
      </c>
    </row>
    <row r="152" spans="1:8" x14ac:dyDescent="0.25">
      <c r="A152" s="20"/>
      <c r="B152" s="21"/>
      <c r="C152" s="21"/>
      <c r="D152" s="21"/>
      <c r="E152" s="22"/>
      <c r="F152" s="21"/>
      <c r="G152" s="21"/>
      <c r="H152" s="19">
        <f>IF(B152="","",IF(B152="Encaissement",E152,-E152))</f>
      </c>
    </row>
    <row r="153" spans="1:8" x14ac:dyDescent="0.25">
      <c r="A153" s="20"/>
      <c r="B153" s="21"/>
      <c r="C153" s="21"/>
      <c r="D153" s="21"/>
      <c r="E153" s="22"/>
      <c r="F153" s="21"/>
      <c r="G153" s="21"/>
      <c r="H153" s="19">
        <f>IF(B153="","",IF(B153="Encaissement",E153,-E153))</f>
      </c>
    </row>
    <row r="154" spans="1:8" x14ac:dyDescent="0.25">
      <c r="A154" s="20"/>
      <c r="B154" s="21"/>
      <c r="C154" s="21"/>
      <c r="D154" s="21"/>
      <c r="E154" s="22"/>
      <c r="F154" s="21"/>
      <c r="G154" s="21"/>
      <c r="H154" s="19">
        <f>IF(B154="","",IF(B154="Encaissement",E154,-E154))</f>
      </c>
    </row>
    <row r="155" spans="1:8" x14ac:dyDescent="0.25">
      <c r="A155" s="20"/>
      <c r="B155" s="21"/>
      <c r="C155" s="21"/>
      <c r="D155" s="21"/>
      <c r="E155" s="22"/>
      <c r="F155" s="21"/>
      <c r="G155" s="21"/>
      <c r="H155" s="19">
        <f>IF(B155="","",IF(B155="Encaissement",E155,-E155))</f>
      </c>
    </row>
    <row r="156" spans="1:8" x14ac:dyDescent="0.25">
      <c r="A156" s="20"/>
      <c r="B156" s="21"/>
      <c r="C156" s="21"/>
      <c r="D156" s="21"/>
      <c r="E156" s="22"/>
      <c r="F156" s="21"/>
      <c r="G156" s="21"/>
      <c r="H156" s="19">
        <f>IF(B156="","",IF(B156="Encaissement",E156,-E156))</f>
      </c>
    </row>
    <row r="157" spans="1:8" x14ac:dyDescent="0.25">
      <c r="A157" s="20"/>
      <c r="B157" s="21"/>
      <c r="C157" s="21"/>
      <c r="D157" s="21"/>
      <c r="E157" s="22"/>
      <c r="F157" s="21"/>
      <c r="G157" s="21"/>
      <c r="H157" s="19">
        <f>IF(B157="","",IF(B157="Encaissement",E157,-E157))</f>
      </c>
    </row>
    <row r="158" spans="1:8" x14ac:dyDescent="0.25">
      <c r="A158" s="20"/>
      <c r="B158" s="21"/>
      <c r="C158" s="21"/>
      <c r="D158" s="21"/>
      <c r="E158" s="22"/>
      <c r="F158" s="21"/>
      <c r="G158" s="21"/>
      <c r="H158" s="19">
        <f>IF(B158="","",IF(B158="Encaissement",E158,-E158))</f>
      </c>
    </row>
    <row r="159" spans="1:8" x14ac:dyDescent="0.25">
      <c r="A159" s="20"/>
      <c r="B159" s="21"/>
      <c r="C159" s="21"/>
      <c r="D159" s="21"/>
      <c r="E159" s="22"/>
      <c r="F159" s="21"/>
      <c r="G159" s="21"/>
      <c r="H159" s="19">
        <f>IF(B159="","",IF(B159="Encaissement",E159,-E159))</f>
      </c>
    </row>
    <row r="160" spans="1:8" x14ac:dyDescent="0.25">
      <c r="A160" s="20"/>
      <c r="B160" s="21"/>
      <c r="C160" s="21"/>
      <c r="D160" s="21"/>
      <c r="E160" s="22"/>
      <c r="F160" s="21"/>
      <c r="G160" s="21"/>
      <c r="H160" s="19">
        <f>IF(B160="","",IF(B160="Encaissement",E160,-E160))</f>
      </c>
    </row>
    <row r="161" spans="1:8" x14ac:dyDescent="0.25">
      <c r="A161" s="20"/>
      <c r="B161" s="21"/>
      <c r="C161" s="21"/>
      <c r="D161" s="21"/>
      <c r="E161" s="22"/>
      <c r="F161" s="21"/>
      <c r="G161" s="21"/>
      <c r="H161" s="19">
        <f>IF(B161="","",IF(B161="Encaissement",E161,-E161))</f>
      </c>
    </row>
    <row r="162" spans="1:8" x14ac:dyDescent="0.25">
      <c r="A162" s="20"/>
      <c r="B162" s="21"/>
      <c r="C162" s="21"/>
      <c r="D162" s="21"/>
      <c r="E162" s="22"/>
      <c r="F162" s="21"/>
      <c r="G162" s="21"/>
      <c r="H162" s="19">
        <f>IF(B162="","",IF(B162="Encaissement",E162,-E162))</f>
      </c>
    </row>
    <row r="163" spans="1:8" x14ac:dyDescent="0.25">
      <c r="A163" s="20"/>
      <c r="B163" s="21"/>
      <c r="C163" s="21"/>
      <c r="D163" s="21"/>
      <c r="E163" s="22"/>
      <c r="F163" s="21"/>
      <c r="G163" s="21"/>
      <c r="H163" s="19">
        <f>IF(B163="","",IF(B163="Encaissement",E163,-E163))</f>
      </c>
    </row>
    <row r="164" spans="1:8" x14ac:dyDescent="0.25">
      <c r="A164" s="20"/>
      <c r="B164" s="21"/>
      <c r="C164" s="21"/>
      <c r="D164" s="21"/>
      <c r="E164" s="22"/>
      <c r="F164" s="21"/>
      <c r="G164" s="21"/>
      <c r="H164" s="19">
        <f>IF(B164="","",IF(B164="Encaissement",E164,-E164))</f>
      </c>
    </row>
    <row r="165" spans="1:8" x14ac:dyDescent="0.25">
      <c r="A165" s="20"/>
      <c r="B165" s="21"/>
      <c r="C165" s="21"/>
      <c r="D165" s="21"/>
      <c r="E165" s="22"/>
      <c r="F165" s="21"/>
      <c r="G165" s="21"/>
      <c r="H165" s="19">
        <f>IF(B165="","",IF(B165="Encaissement",E165,-E165))</f>
      </c>
    </row>
    <row r="166" spans="1:8" x14ac:dyDescent="0.25">
      <c r="A166" s="20"/>
      <c r="B166" s="21"/>
      <c r="C166" s="21"/>
      <c r="D166" s="21"/>
      <c r="E166" s="22"/>
      <c r="F166" s="21"/>
      <c r="G166" s="21"/>
      <c r="H166" s="19">
        <f>IF(B166="","",IF(B166="Encaissement",E166,-E166))</f>
      </c>
    </row>
    <row r="167" spans="1:8" x14ac:dyDescent="0.25">
      <c r="A167" s="20"/>
      <c r="B167" s="21"/>
      <c r="C167" s="21"/>
      <c r="D167" s="21"/>
      <c r="E167" s="22"/>
      <c r="F167" s="21"/>
      <c r="G167" s="21"/>
      <c r="H167" s="19">
        <f>IF(B167="","",IF(B167="Encaissement",E167,-E167))</f>
      </c>
    </row>
    <row r="168" spans="1:8" x14ac:dyDescent="0.25">
      <c r="A168" s="20"/>
      <c r="B168" s="21"/>
      <c r="C168" s="21"/>
      <c r="D168" s="21"/>
      <c r="E168" s="22"/>
      <c r="F168" s="21"/>
      <c r="G168" s="21"/>
      <c r="H168" s="19">
        <f>IF(B168="","",IF(B168="Encaissement",E168,-E168))</f>
      </c>
    </row>
    <row r="169" spans="1:8" x14ac:dyDescent="0.25">
      <c r="A169" s="20"/>
      <c r="B169" s="21"/>
      <c r="C169" s="21"/>
      <c r="D169" s="21"/>
      <c r="E169" s="22"/>
      <c r="F169" s="21"/>
      <c r="G169" s="21"/>
      <c r="H169" s="19">
        <f>IF(B169="","",IF(B169="Encaissement",E169,-E169))</f>
      </c>
    </row>
    <row r="170" spans="1:8" x14ac:dyDescent="0.25">
      <c r="A170" s="20"/>
      <c r="B170" s="21"/>
      <c r="C170" s="21"/>
      <c r="D170" s="21"/>
      <c r="E170" s="22"/>
      <c r="F170" s="21"/>
      <c r="G170" s="21"/>
      <c r="H170" s="19">
        <f>IF(B170="","",IF(B170="Encaissement",E170,-E170))</f>
      </c>
    </row>
    <row r="171" spans="1:8" x14ac:dyDescent="0.25">
      <c r="A171" s="20"/>
      <c r="B171" s="21"/>
      <c r="C171" s="21"/>
      <c r="D171" s="21"/>
      <c r="E171" s="22"/>
      <c r="F171" s="21"/>
      <c r="G171" s="21"/>
      <c r="H171" s="19">
        <f>IF(B171="","",IF(B171="Encaissement",E171,-E171))</f>
      </c>
    </row>
    <row r="172" spans="1:8" x14ac:dyDescent="0.25">
      <c r="A172" s="20"/>
      <c r="B172" s="21"/>
      <c r="C172" s="21"/>
      <c r="D172" s="21"/>
      <c r="E172" s="22"/>
      <c r="F172" s="21"/>
      <c r="G172" s="21"/>
      <c r="H172" s="19">
        <f>IF(B172="","",IF(B172="Encaissement",E172,-E172))</f>
      </c>
    </row>
    <row r="173" spans="1:8" x14ac:dyDescent="0.25">
      <c r="A173" s="20"/>
      <c r="B173" s="21"/>
      <c r="C173" s="21"/>
      <c r="D173" s="21"/>
      <c r="E173" s="22"/>
      <c r="F173" s="21"/>
      <c r="G173" s="21"/>
      <c r="H173" s="19">
        <f>IF(B173="","",IF(B173="Encaissement",E173,-E173))</f>
      </c>
    </row>
    <row r="174" spans="1:8" x14ac:dyDescent="0.25">
      <c r="A174" s="20"/>
      <c r="B174" s="21"/>
      <c r="C174" s="21"/>
      <c r="D174" s="21"/>
      <c r="E174" s="22"/>
      <c r="F174" s="21"/>
      <c r="G174" s="21"/>
      <c r="H174" s="19">
        <f>IF(B174="","",IF(B174="Encaissement",E174,-E174))</f>
      </c>
    </row>
    <row r="175" spans="1:8" x14ac:dyDescent="0.25">
      <c r="A175" s="20"/>
      <c r="B175" s="21"/>
      <c r="C175" s="21"/>
      <c r="D175" s="21"/>
      <c r="E175" s="22"/>
      <c r="F175" s="21"/>
      <c r="G175" s="21"/>
      <c r="H175" s="19">
        <f>IF(B175="","",IF(B175="Encaissement",E175,-E175))</f>
      </c>
    </row>
    <row r="176" spans="1:8" x14ac:dyDescent="0.25">
      <c r="A176" s="20"/>
      <c r="B176" s="21"/>
      <c r="C176" s="21"/>
      <c r="D176" s="21"/>
      <c r="E176" s="22"/>
      <c r="F176" s="21"/>
      <c r="G176" s="21"/>
      <c r="H176" s="19">
        <f>IF(B176="","",IF(B176="Encaissement",E176,-E176))</f>
      </c>
    </row>
    <row r="177" spans="1:8" x14ac:dyDescent="0.25">
      <c r="A177" s="20"/>
      <c r="B177" s="21"/>
      <c r="C177" s="21"/>
      <c r="D177" s="21"/>
      <c r="E177" s="22"/>
      <c r="F177" s="21"/>
      <c r="G177" s="21"/>
      <c r="H177" s="19">
        <f>IF(B177="","",IF(B177="Encaissement",E177,-E177))</f>
      </c>
    </row>
    <row r="178" spans="1:8" x14ac:dyDescent="0.25">
      <c r="A178" s="20"/>
      <c r="B178" s="21"/>
      <c r="C178" s="21"/>
      <c r="D178" s="21"/>
      <c r="E178" s="22"/>
      <c r="F178" s="21"/>
      <c r="G178" s="21"/>
      <c r="H178" s="19">
        <f>IF(B178="","",IF(B178="Encaissement",E178,-E178))</f>
      </c>
    </row>
    <row r="179" spans="1:8" x14ac:dyDescent="0.25">
      <c r="A179" s="20"/>
      <c r="B179" s="21"/>
      <c r="C179" s="21"/>
      <c r="D179" s="21"/>
      <c r="E179" s="22"/>
      <c r="F179" s="21"/>
      <c r="G179" s="21"/>
      <c r="H179" s="19">
        <f>IF(B179="","",IF(B179="Encaissement",E179,-E179))</f>
      </c>
    </row>
    <row r="180" spans="1:8" x14ac:dyDescent="0.25">
      <c r="A180" s="20"/>
      <c r="B180" s="21"/>
      <c r="C180" s="21"/>
      <c r="D180" s="21"/>
      <c r="E180" s="22"/>
      <c r="F180" s="21"/>
      <c r="G180" s="21"/>
      <c r="H180" s="19">
        <f>IF(B180="","",IF(B180="Encaissement",E180,-E180))</f>
      </c>
    </row>
    <row r="181" spans="1:8" x14ac:dyDescent="0.25">
      <c r="A181" s="20"/>
      <c r="B181" s="21"/>
      <c r="C181" s="21"/>
      <c r="D181" s="21"/>
      <c r="E181" s="22"/>
      <c r="F181" s="21"/>
      <c r="G181" s="21"/>
      <c r="H181" s="19">
        <f>IF(B181="","",IF(B181="Encaissement",E181,-E181))</f>
      </c>
    </row>
    <row r="182" spans="1:8" x14ac:dyDescent="0.25">
      <c r="A182" s="20"/>
      <c r="B182" s="21"/>
      <c r="C182" s="21"/>
      <c r="D182" s="21"/>
      <c r="E182" s="22"/>
      <c r="F182" s="21"/>
      <c r="G182" s="21"/>
      <c r="H182" s="19">
        <f>IF(B182="","",IF(B182="Encaissement",E182,-E182))</f>
      </c>
    </row>
    <row r="183" spans="1:8" x14ac:dyDescent="0.25">
      <c r="A183" s="20"/>
      <c r="B183" s="21"/>
      <c r="C183" s="21"/>
      <c r="D183" s="21"/>
      <c r="E183" s="22"/>
      <c r="F183" s="21"/>
      <c r="G183" s="21"/>
      <c r="H183" s="19">
        <f>IF(B183="","",IF(B183="Encaissement",E183,-E183))</f>
      </c>
    </row>
    <row r="184" spans="1:8" x14ac:dyDescent="0.25">
      <c r="A184" s="20"/>
      <c r="B184" s="21"/>
      <c r="C184" s="21"/>
      <c r="D184" s="21"/>
      <c r="E184" s="22"/>
      <c r="F184" s="21"/>
      <c r="G184" s="21"/>
      <c r="H184" s="19">
        <f>IF(B184="","",IF(B184="Encaissement",E184,-E184))</f>
      </c>
    </row>
    <row r="185" spans="1:8" x14ac:dyDescent="0.25">
      <c r="A185" s="20"/>
      <c r="B185" s="21"/>
      <c r="C185" s="21"/>
      <c r="D185" s="21"/>
      <c r="E185" s="22"/>
      <c r="F185" s="21"/>
      <c r="G185" s="21"/>
      <c r="H185" s="19">
        <f>IF(B185="","",IF(B185="Encaissement",E185,-E185))</f>
      </c>
    </row>
    <row r="186" spans="1:8" x14ac:dyDescent="0.25">
      <c r="A186" s="20"/>
      <c r="B186" s="21"/>
      <c r="C186" s="21"/>
      <c r="D186" s="21"/>
      <c r="E186" s="22"/>
      <c r="F186" s="21"/>
      <c r="G186" s="21"/>
      <c r="H186" s="19">
        <f>IF(B186="","",IF(B186="Encaissement",E186,-E186))</f>
      </c>
    </row>
    <row r="187" spans="1:8" x14ac:dyDescent="0.25">
      <c r="A187" s="20"/>
      <c r="B187" s="21"/>
      <c r="C187" s="21"/>
      <c r="D187" s="21"/>
      <c r="E187" s="22"/>
      <c r="F187" s="21"/>
      <c r="G187" s="21"/>
      <c r="H187" s="19">
        <f>IF(B187="","",IF(B187="Encaissement",E187,-E187))</f>
      </c>
    </row>
    <row r="188" spans="1:8" x14ac:dyDescent="0.25">
      <c r="A188" s="20"/>
      <c r="B188" s="21"/>
      <c r="C188" s="21"/>
      <c r="D188" s="21"/>
      <c r="E188" s="22"/>
      <c r="F188" s="21"/>
      <c r="G188" s="21"/>
      <c r="H188" s="19">
        <f>IF(B188="","",IF(B188="Encaissement",E188,-E188))</f>
      </c>
    </row>
    <row r="189" spans="1:8" x14ac:dyDescent="0.25">
      <c r="A189" s="20"/>
      <c r="B189" s="21"/>
      <c r="C189" s="21"/>
      <c r="D189" s="21"/>
      <c r="E189" s="22"/>
      <c r="F189" s="21"/>
      <c r="G189" s="21"/>
      <c r="H189" s="19">
        <f>IF(B189="","",IF(B189="Encaissement",E189,-E189))</f>
      </c>
    </row>
    <row r="190" spans="1:8" x14ac:dyDescent="0.25">
      <c r="A190" s="20"/>
      <c r="B190" s="21"/>
      <c r="C190" s="21"/>
      <c r="D190" s="21"/>
      <c r="E190" s="22"/>
      <c r="F190" s="21"/>
      <c r="G190" s="21"/>
      <c r="H190" s="19">
        <f>IF(B190="","",IF(B190="Encaissement",E190,-E190))</f>
      </c>
    </row>
    <row r="191" spans="1:8" x14ac:dyDescent="0.25">
      <c r="A191" s="20"/>
      <c r="B191" s="21"/>
      <c r="C191" s="21"/>
      <c r="D191" s="21"/>
      <c r="E191" s="22"/>
      <c r="F191" s="21"/>
      <c r="G191" s="21"/>
      <c r="H191" s="19">
        <f>IF(B191="","",IF(B191="Encaissement",E191,-E191))</f>
      </c>
    </row>
    <row r="192" spans="1:8" x14ac:dyDescent="0.25">
      <c r="A192" s="20"/>
      <c r="B192" s="21"/>
      <c r="C192" s="21"/>
      <c r="D192" s="21"/>
      <c r="E192" s="22"/>
      <c r="F192" s="21"/>
      <c r="G192" s="21"/>
      <c r="H192" s="19">
        <f>IF(B192="","",IF(B192="Encaissement",E192,-E192))</f>
      </c>
    </row>
    <row r="193" spans="1:8" x14ac:dyDescent="0.25">
      <c r="A193" s="20"/>
      <c r="B193" s="21"/>
      <c r="C193" s="21"/>
      <c r="D193" s="21"/>
      <c r="E193" s="22"/>
      <c r="F193" s="21"/>
      <c r="G193" s="21"/>
      <c r="H193" s="19">
        <f>IF(B193="","",IF(B193="Encaissement",E193,-E193))</f>
      </c>
    </row>
    <row r="194" spans="1:8" x14ac:dyDescent="0.25">
      <c r="A194" s="20"/>
      <c r="B194" s="21"/>
      <c r="C194" s="21"/>
      <c r="D194" s="21"/>
      <c r="E194" s="22"/>
      <c r="F194" s="21"/>
      <c r="G194" s="21"/>
      <c r="H194" s="19">
        <f>IF(B194="","",IF(B194="Encaissement",E194,-E194))</f>
      </c>
    </row>
    <row r="195" spans="1:8" x14ac:dyDescent="0.25">
      <c r="A195" s="20"/>
      <c r="B195" s="21"/>
      <c r="C195" s="21"/>
      <c r="D195" s="21"/>
      <c r="E195" s="22"/>
      <c r="F195" s="21"/>
      <c r="G195" s="21"/>
      <c r="H195" s="19">
        <f>IF(B195="","",IF(B195="Encaissement",E195,-E195))</f>
      </c>
    </row>
    <row r="196" spans="1:8" x14ac:dyDescent="0.25">
      <c r="A196" s="20"/>
      <c r="B196" s="21"/>
      <c r="C196" s="21"/>
      <c r="D196" s="21"/>
      <c r="E196" s="22"/>
      <c r="F196" s="21"/>
      <c r="G196" s="21"/>
      <c r="H196" s="19">
        <f>IF(B196="","",IF(B196="Encaissement",E196,-E196))</f>
      </c>
    </row>
    <row r="197" spans="1:8" x14ac:dyDescent="0.25">
      <c r="A197" s="20"/>
      <c r="B197" s="21"/>
      <c r="C197" s="21"/>
      <c r="D197" s="21"/>
      <c r="E197" s="22"/>
      <c r="F197" s="21"/>
      <c r="G197" s="21"/>
      <c r="H197" s="19">
        <f>IF(B197="","",IF(B197="Encaissement",E197,-E197))</f>
      </c>
    </row>
    <row r="198" spans="1:8" x14ac:dyDescent="0.25">
      <c r="A198" s="20"/>
      <c r="B198" s="21"/>
      <c r="C198" s="21"/>
      <c r="D198" s="21"/>
      <c r="E198" s="22"/>
      <c r="F198" s="21"/>
      <c r="G198" s="21"/>
      <c r="H198" s="19">
        <f>IF(B198="","",IF(B198="Encaissement",E198,-E198))</f>
      </c>
    </row>
    <row r="199" spans="1:8" x14ac:dyDescent="0.25">
      <c r="A199" s="20"/>
      <c r="B199" s="21"/>
      <c r="C199" s="21"/>
      <c r="D199" s="21"/>
      <c r="E199" s="22"/>
      <c r="F199" s="21"/>
      <c r="G199" s="21"/>
      <c r="H199" s="19">
        <f>IF(B199="","",IF(B199="Encaissement",E199,-E199))</f>
      </c>
    </row>
    <row r="200" spans="1:8" x14ac:dyDescent="0.25">
      <c r="A200" s="20"/>
      <c r="B200" s="21"/>
      <c r="C200" s="21"/>
      <c r="D200" s="21"/>
      <c r="E200" s="22"/>
      <c r="F200" s="21"/>
      <c r="G200" s="21"/>
      <c r="H200" s="19">
        <f>IF(B200="","",IF(B200="Encaissement",E200,-E200))</f>
      </c>
    </row>
    <row r="201" spans="1:8" x14ac:dyDescent="0.25">
      <c r="A201" s="20"/>
      <c r="B201" s="21"/>
      <c r="C201" s="21"/>
      <c r="D201" s="21"/>
      <c r="E201" s="22"/>
      <c r="F201" s="21"/>
      <c r="G201" s="21"/>
      <c r="H201" s="19">
        <f>IF(B201="","",IF(B201="Encaissement",E201,-E201))</f>
      </c>
    </row>
    <row r="202" spans="1:8" x14ac:dyDescent="0.25">
      <c r="A202" s="20"/>
      <c r="B202" s="21"/>
      <c r="C202" s="21"/>
      <c r="D202" s="21"/>
      <c r="E202" s="22"/>
      <c r="F202" s="21"/>
      <c r="G202" s="21"/>
      <c r="H202" s="19">
        <f>IF(B202="","",IF(B202="Encaissement",E202,-E202))</f>
      </c>
    </row>
    <row r="203" spans="1:8" x14ac:dyDescent="0.25">
      <c r="A203" s="20"/>
      <c r="B203" s="21"/>
      <c r="C203" s="21"/>
      <c r="D203" s="21"/>
      <c r="E203" s="22"/>
      <c r="F203" s="21"/>
      <c r="G203" s="21"/>
      <c r="H203" s="19">
        <f>IF(B203="","",IF(B203="Encaissement",E203,-E203))</f>
      </c>
    </row>
    <row r="204" spans="1:8" x14ac:dyDescent="0.25">
      <c r="A204" s="20"/>
      <c r="B204" s="21"/>
      <c r="C204" s="21"/>
      <c r="D204" s="21"/>
      <c r="E204" s="22"/>
      <c r="F204" s="21"/>
      <c r="G204" s="21"/>
      <c r="H204" s="19">
        <f>IF(B204="","",IF(B204="Encaissement",E204,-E204))</f>
      </c>
    </row>
    <row r="205" spans="1:8" x14ac:dyDescent="0.25">
      <c r="A205" s="20"/>
      <c r="B205" s="21"/>
      <c r="C205" s="21"/>
      <c r="D205" s="21"/>
      <c r="E205" s="22"/>
      <c r="F205" s="21"/>
      <c r="G205" s="21"/>
      <c r="H205" s="19">
        <f>IF(B205="","",IF(B205="Encaissement",E205,-E205))</f>
      </c>
    </row>
    <row r="206" spans="1:8" x14ac:dyDescent="0.25">
      <c r="A206" s="20"/>
      <c r="B206" s="21"/>
      <c r="C206" s="21"/>
      <c r="D206" s="21"/>
      <c r="E206" s="22"/>
      <c r="F206" s="21"/>
      <c r="G206" s="21"/>
      <c r="H206" s="19">
        <f>IF(B206="","",IF(B206="Encaissement",E206,-E206))</f>
      </c>
    </row>
    <row r="207" spans="1:8" x14ac:dyDescent="0.25">
      <c r="A207" s="20"/>
      <c r="B207" s="21"/>
      <c r="C207" s="21"/>
      <c r="D207" s="21"/>
      <c r="E207" s="22"/>
      <c r="F207" s="21"/>
      <c r="G207" s="21"/>
      <c r="H207" s="19">
        <f>IF(B207="","",IF(B207="Encaissement",E207,-E207))</f>
      </c>
    </row>
    <row r="208" spans="1:8" x14ac:dyDescent="0.25">
      <c r="A208" s="20"/>
      <c r="B208" s="21"/>
      <c r="C208" s="21"/>
      <c r="D208" s="21"/>
      <c r="E208" s="22"/>
      <c r="F208" s="21"/>
      <c r="G208" s="21"/>
      <c r="H208" s="19">
        <f>IF(B208="","",IF(B208="Encaissement",E208,-E208))</f>
      </c>
    </row>
    <row r="209" spans="1:8" x14ac:dyDescent="0.25">
      <c r="A209" s="20"/>
      <c r="B209" s="21"/>
      <c r="C209" s="21"/>
      <c r="D209" s="21"/>
      <c r="E209" s="22"/>
      <c r="F209" s="21"/>
      <c r="G209" s="21"/>
      <c r="H209" s="19">
        <f>IF(B209="","",IF(B209="Encaissement",E209,-E209))</f>
      </c>
    </row>
    <row r="210" spans="1:8" x14ac:dyDescent="0.25">
      <c r="A210" s="20"/>
      <c r="B210" s="21"/>
      <c r="C210" s="21"/>
      <c r="D210" s="21"/>
      <c r="E210" s="22"/>
      <c r="F210" s="21"/>
      <c r="G210" s="21"/>
      <c r="H210" s="19">
        <f>IF(B210="","",IF(B210="Encaissement",E210,-E210))</f>
      </c>
    </row>
    <row r="211" spans="1:8" x14ac:dyDescent="0.25">
      <c r="A211" s="20"/>
      <c r="B211" s="21"/>
      <c r="C211" s="21"/>
      <c r="D211" s="21"/>
      <c r="E211" s="22"/>
      <c r="F211" s="21"/>
      <c r="G211" s="21"/>
      <c r="H211" s="19">
        <f>IF(B211="","",IF(B211="Encaissement",E211,-E211))</f>
      </c>
    </row>
    <row r="212" spans="1:8" x14ac:dyDescent="0.25">
      <c r="A212" s="20"/>
      <c r="B212" s="21"/>
      <c r="C212" s="21"/>
      <c r="D212" s="21"/>
      <c r="E212" s="22"/>
      <c r="F212" s="21"/>
      <c r="G212" s="21"/>
      <c r="H212" s="19">
        <f>IF(B212="","",IF(B212="Encaissement",E212,-E212))</f>
      </c>
    </row>
    <row r="213" spans="1:8" x14ac:dyDescent="0.25">
      <c r="A213" s="20"/>
      <c r="B213" s="21"/>
      <c r="C213" s="21"/>
      <c r="D213" s="21"/>
      <c r="E213" s="22"/>
      <c r="F213" s="21"/>
      <c r="G213" s="21"/>
      <c r="H213" s="19">
        <f>IF(B213="","",IF(B213="Encaissement",E213,-E213))</f>
      </c>
    </row>
    <row r="214" spans="1:8" x14ac:dyDescent="0.25">
      <c r="A214" s="20"/>
      <c r="B214" s="21"/>
      <c r="C214" s="21"/>
      <c r="D214" s="21"/>
      <c r="E214" s="22"/>
      <c r="F214" s="21"/>
      <c r="G214" s="21"/>
      <c r="H214" s="19">
        <f>IF(B214="","",IF(B214="Encaissement",E214,-E214))</f>
      </c>
    </row>
    <row r="215" spans="1:8" x14ac:dyDescent="0.25">
      <c r="A215" s="20"/>
      <c r="B215" s="21"/>
      <c r="C215" s="21"/>
      <c r="D215" s="21"/>
      <c r="E215" s="22"/>
      <c r="F215" s="21"/>
      <c r="G215" s="21"/>
      <c r="H215" s="19">
        <f>IF(B215="","",IF(B215="Encaissement",E215,-E215))</f>
      </c>
    </row>
    <row r="216" spans="1:8" x14ac:dyDescent="0.25">
      <c r="A216" s="20"/>
      <c r="B216" s="21"/>
      <c r="C216" s="21"/>
      <c r="D216" s="21"/>
      <c r="E216" s="22"/>
      <c r="F216" s="21"/>
      <c r="G216" s="21"/>
      <c r="H216" s="19">
        <f>IF(B216="","",IF(B216="Encaissement",E216,-E216))</f>
      </c>
    </row>
    <row r="217" spans="1:8" x14ac:dyDescent="0.25">
      <c r="A217" s="20"/>
      <c r="B217" s="21"/>
      <c r="C217" s="21"/>
      <c r="D217" s="21"/>
      <c r="E217" s="22"/>
      <c r="F217" s="21"/>
      <c r="G217" s="21"/>
      <c r="H217" s="19">
        <f>IF(B217="","",IF(B217="Encaissement",E217,-E217))</f>
      </c>
    </row>
    <row r="218" spans="1:8" x14ac:dyDescent="0.25">
      <c r="A218" s="20"/>
      <c r="B218" s="21"/>
      <c r="C218" s="21"/>
      <c r="D218" s="21"/>
      <c r="E218" s="22"/>
      <c r="F218" s="21"/>
      <c r="G218" s="21"/>
      <c r="H218" s="19">
        <f>IF(B218="","",IF(B218="Encaissement",E218,-E218))</f>
      </c>
    </row>
    <row r="219" spans="1:8" x14ac:dyDescent="0.25">
      <c r="A219" s="20"/>
      <c r="B219" s="21"/>
      <c r="C219" s="21"/>
      <c r="D219" s="21"/>
      <c r="E219" s="22"/>
      <c r="F219" s="21"/>
      <c r="G219" s="21"/>
      <c r="H219" s="19">
        <f>IF(B219="","",IF(B219="Encaissement",E219,-E219))</f>
      </c>
    </row>
    <row r="220" spans="1:8" x14ac:dyDescent="0.25">
      <c r="A220" s="20"/>
      <c r="B220" s="21"/>
      <c r="C220" s="21"/>
      <c r="D220" s="21"/>
      <c r="E220" s="22"/>
      <c r="F220" s="21"/>
      <c r="G220" s="21"/>
      <c r="H220" s="19">
        <f>IF(B220="","",IF(B220="Encaissement",E220,-E220))</f>
      </c>
    </row>
    <row r="221" spans="1:8" x14ac:dyDescent="0.25">
      <c r="A221" s="20"/>
      <c r="B221" s="21"/>
      <c r="C221" s="21"/>
      <c r="D221" s="21"/>
      <c r="E221" s="22"/>
      <c r="F221" s="21"/>
      <c r="G221" s="21"/>
      <c r="H221" s="19">
        <f>IF(B221="","",IF(B221="Encaissement",E221,-E221))</f>
      </c>
    </row>
    <row r="222" spans="1:8" x14ac:dyDescent="0.25">
      <c r="A222" s="20"/>
      <c r="B222" s="21"/>
      <c r="C222" s="21"/>
      <c r="D222" s="21"/>
      <c r="E222" s="22"/>
      <c r="F222" s="21"/>
      <c r="G222" s="21"/>
      <c r="H222" s="19">
        <f>IF(B222="","",IF(B222="Encaissement",E222,-E222))</f>
      </c>
    </row>
    <row r="223" spans="1:8" x14ac:dyDescent="0.25">
      <c r="A223" s="20"/>
      <c r="B223" s="21"/>
      <c r="C223" s="21"/>
      <c r="D223" s="21"/>
      <c r="E223" s="22"/>
      <c r="F223" s="21"/>
      <c r="G223" s="21"/>
      <c r="H223" s="19">
        <f>IF(B223="","",IF(B223="Encaissement",E223,-E223))</f>
      </c>
    </row>
    <row r="224" spans="1:8" x14ac:dyDescent="0.25">
      <c r="A224" s="20"/>
      <c r="B224" s="21"/>
      <c r="C224" s="21"/>
      <c r="D224" s="21"/>
      <c r="E224" s="22"/>
      <c r="F224" s="21"/>
      <c r="G224" s="21"/>
      <c r="H224" s="19">
        <f>IF(B224="","",IF(B224="Encaissement",E224,-E224))</f>
      </c>
    </row>
    <row r="225" spans="1:8" x14ac:dyDescent="0.25">
      <c r="A225" s="20"/>
      <c r="B225" s="21"/>
      <c r="C225" s="21"/>
      <c r="D225" s="21"/>
      <c r="E225" s="22"/>
      <c r="F225" s="21"/>
      <c r="G225" s="21"/>
      <c r="H225" s="19">
        <f>IF(B225="","",IF(B225="Encaissement",E225,-E225))</f>
      </c>
    </row>
    <row r="226" spans="1:8" x14ac:dyDescent="0.25">
      <c r="A226" s="20"/>
      <c r="B226" s="21"/>
      <c r="C226" s="21"/>
      <c r="D226" s="21"/>
      <c r="E226" s="22"/>
      <c r="F226" s="21"/>
      <c r="G226" s="21"/>
      <c r="H226" s="19">
        <f>IF(B226="","",IF(B226="Encaissement",E226,-E226))</f>
      </c>
    </row>
    <row r="227" spans="1:8" x14ac:dyDescent="0.25">
      <c r="A227" s="20"/>
      <c r="B227" s="21"/>
      <c r="C227" s="21"/>
      <c r="D227" s="21"/>
      <c r="E227" s="22"/>
      <c r="F227" s="21"/>
      <c r="G227" s="21"/>
      <c r="H227" s="19">
        <f>IF(B227="","",IF(B227="Encaissement",E227,-E227))</f>
      </c>
    </row>
    <row r="228" spans="1:8" x14ac:dyDescent="0.25">
      <c r="A228" s="20"/>
      <c r="B228" s="21"/>
      <c r="C228" s="21"/>
      <c r="D228" s="21"/>
      <c r="E228" s="22"/>
      <c r="F228" s="21"/>
      <c r="G228" s="21"/>
      <c r="H228" s="19">
        <f>IF(B228="","",IF(B228="Encaissement",E228,-E228))</f>
      </c>
    </row>
    <row r="229" spans="1:8" x14ac:dyDescent="0.25">
      <c r="A229" s="20"/>
      <c r="B229" s="21"/>
      <c r="C229" s="21"/>
      <c r="D229" s="21"/>
      <c r="E229" s="22"/>
      <c r="F229" s="21"/>
      <c r="G229" s="21"/>
      <c r="H229" s="19">
        <f>IF(B229="","",IF(B229="Encaissement",E229,-E229))</f>
      </c>
    </row>
    <row r="230" spans="1:8" x14ac:dyDescent="0.25">
      <c r="A230" s="20"/>
      <c r="B230" s="21"/>
      <c r="C230" s="21"/>
      <c r="D230" s="21"/>
      <c r="E230" s="22"/>
      <c r="F230" s="21"/>
      <c r="G230" s="21"/>
      <c r="H230" s="19">
        <f>IF(B230="","",IF(B230="Encaissement",E230,-E230))</f>
      </c>
    </row>
    <row r="231" spans="1:8" x14ac:dyDescent="0.25">
      <c r="A231" s="20"/>
      <c r="B231" s="21"/>
      <c r="C231" s="21"/>
      <c r="D231" s="21"/>
      <c r="E231" s="22"/>
      <c r="F231" s="21"/>
      <c r="G231" s="21"/>
      <c r="H231" s="19">
        <f>IF(B231="","",IF(B231="Encaissement",E231,-E231))</f>
      </c>
    </row>
    <row r="232" spans="1:8" x14ac:dyDescent="0.25">
      <c r="A232" s="20"/>
      <c r="B232" s="21"/>
      <c r="C232" s="21"/>
      <c r="D232" s="21"/>
      <c r="E232" s="22"/>
      <c r="F232" s="21"/>
      <c r="G232" s="21"/>
      <c r="H232" s="19">
        <f>IF(B232="","",IF(B232="Encaissement",E232,-E232))</f>
      </c>
    </row>
    <row r="233" spans="1:8" x14ac:dyDescent="0.25">
      <c r="A233" s="20"/>
      <c r="B233" s="21"/>
      <c r="C233" s="21"/>
      <c r="D233" s="21"/>
      <c r="E233" s="22"/>
      <c r="F233" s="21"/>
      <c r="G233" s="21"/>
      <c r="H233" s="19">
        <f>IF(B233="","",IF(B233="Encaissement",E233,-E233))</f>
      </c>
    </row>
    <row r="234" spans="1:8" x14ac:dyDescent="0.25">
      <c r="A234" s="20"/>
      <c r="B234" s="21"/>
      <c r="C234" s="21"/>
      <c r="D234" s="21"/>
      <c r="E234" s="22"/>
      <c r="F234" s="21"/>
      <c r="G234" s="21"/>
      <c r="H234" s="19">
        <f>IF(B234="","",IF(B234="Encaissement",E234,-E234))</f>
      </c>
    </row>
    <row r="235" spans="1:8" x14ac:dyDescent="0.25">
      <c r="A235" s="20"/>
      <c r="B235" s="21"/>
      <c r="C235" s="21"/>
      <c r="D235" s="21"/>
      <c r="E235" s="22"/>
      <c r="F235" s="21"/>
      <c r="G235" s="21"/>
      <c r="H235" s="19">
        <f>IF(B235="","",IF(B235="Encaissement",E235,-E235))</f>
      </c>
    </row>
    <row r="236" spans="1:8" x14ac:dyDescent="0.25">
      <c r="A236" s="20"/>
      <c r="B236" s="21"/>
      <c r="C236" s="21"/>
      <c r="D236" s="21"/>
      <c r="E236" s="22"/>
      <c r="F236" s="21"/>
      <c r="G236" s="21"/>
      <c r="H236" s="19">
        <f>IF(B236="","",IF(B236="Encaissement",E236,-E236))</f>
      </c>
    </row>
    <row r="237" spans="1:8" x14ac:dyDescent="0.25">
      <c r="A237" s="20"/>
      <c r="B237" s="21"/>
      <c r="C237" s="21"/>
      <c r="D237" s="21"/>
      <c r="E237" s="22"/>
      <c r="F237" s="21"/>
      <c r="G237" s="21"/>
      <c r="H237" s="19">
        <f>IF(B237="","",IF(B237="Encaissement",E237,-E237))</f>
      </c>
    </row>
    <row r="238" spans="1:8" x14ac:dyDescent="0.25">
      <c r="A238" s="20"/>
      <c r="B238" s="21"/>
      <c r="C238" s="21"/>
      <c r="D238" s="21"/>
      <c r="E238" s="22"/>
      <c r="F238" s="21"/>
      <c r="G238" s="21"/>
      <c r="H238" s="19">
        <f>IF(B238="","",IF(B238="Encaissement",E238,-E238))</f>
      </c>
    </row>
    <row r="239" spans="1:8" x14ac:dyDescent="0.25">
      <c r="A239" s="20"/>
      <c r="B239" s="21"/>
      <c r="C239" s="21"/>
      <c r="D239" s="21"/>
      <c r="E239" s="22"/>
      <c r="F239" s="21"/>
      <c r="G239" s="21"/>
      <c r="H239" s="19">
        <f>IF(B239="","",IF(B239="Encaissement",E239,-E239))</f>
      </c>
    </row>
    <row r="240" spans="1:8" x14ac:dyDescent="0.25">
      <c r="A240" s="20"/>
      <c r="B240" s="21"/>
      <c r="C240" s="21"/>
      <c r="D240" s="21"/>
      <c r="E240" s="22"/>
      <c r="F240" s="21"/>
      <c r="G240" s="21"/>
      <c r="H240" s="19">
        <f>IF(B240="","",IF(B240="Encaissement",E240,-E240))</f>
      </c>
    </row>
    <row r="241" spans="1:8" x14ac:dyDescent="0.25">
      <c r="A241" s="20"/>
      <c r="B241" s="21"/>
      <c r="C241" s="21"/>
      <c r="D241" s="21"/>
      <c r="E241" s="22"/>
      <c r="F241" s="21"/>
      <c r="G241" s="21"/>
      <c r="H241" s="19">
        <f>IF(B241="","",IF(B241="Encaissement",E241,-E241))</f>
      </c>
    </row>
    <row r="242" spans="1:8" x14ac:dyDescent="0.25">
      <c r="A242" s="20"/>
      <c r="B242" s="21"/>
      <c r="C242" s="21"/>
      <c r="D242" s="21"/>
      <c r="E242" s="22"/>
      <c r="F242" s="21"/>
      <c r="G242" s="21"/>
      <c r="H242" s="19">
        <f>IF(B242="","",IF(B242="Encaissement",E242,-E242))</f>
      </c>
    </row>
    <row r="243" spans="1:8" x14ac:dyDescent="0.25">
      <c r="A243" s="20"/>
      <c r="B243" s="21"/>
      <c r="C243" s="21"/>
      <c r="D243" s="21"/>
      <c r="E243" s="22"/>
      <c r="F243" s="21"/>
      <c r="G243" s="21"/>
      <c r="H243" s="19">
        <f>IF(B243="","",IF(B243="Encaissement",E243,-E243))</f>
      </c>
    </row>
    <row r="244" spans="1:8" x14ac:dyDescent="0.25">
      <c r="A244" s="20"/>
      <c r="B244" s="21"/>
      <c r="C244" s="21"/>
      <c r="D244" s="21"/>
      <c r="E244" s="22"/>
      <c r="F244" s="21"/>
      <c r="G244" s="21"/>
      <c r="H244" s="19">
        <f>IF(B244="","",IF(B244="Encaissement",E244,-E244))</f>
      </c>
    </row>
    <row r="245" spans="1:8" x14ac:dyDescent="0.25">
      <c r="A245" s="20"/>
      <c r="B245" s="21"/>
      <c r="C245" s="21"/>
      <c r="D245" s="21"/>
      <c r="E245" s="22"/>
      <c r="F245" s="21"/>
      <c r="G245" s="21"/>
      <c r="H245" s="19">
        <f>IF(B245="","",IF(B245="Encaissement",E245,-E245))</f>
      </c>
    </row>
    <row r="246" spans="1:8" x14ac:dyDescent="0.25">
      <c r="A246" s="20"/>
      <c r="B246" s="21"/>
      <c r="C246" s="21"/>
      <c r="D246" s="21"/>
      <c r="E246" s="22"/>
      <c r="F246" s="21"/>
      <c r="G246" s="21"/>
      <c r="H246" s="19">
        <f>IF(B246="","",IF(B246="Encaissement",E246,-E246))</f>
      </c>
    </row>
    <row r="247" spans="1:8" x14ac:dyDescent="0.25">
      <c r="A247" s="20"/>
      <c r="B247" s="21"/>
      <c r="C247" s="21"/>
      <c r="D247" s="21"/>
      <c r="E247" s="22"/>
      <c r="F247" s="21"/>
      <c r="G247" s="21"/>
      <c r="H247" s="19">
        <f>IF(B247="","",IF(B247="Encaissement",E247,-E247))</f>
      </c>
    </row>
    <row r="248" spans="1:8" x14ac:dyDescent="0.25">
      <c r="A248" s="20"/>
      <c r="B248" s="21"/>
      <c r="C248" s="21"/>
      <c r="D248" s="21"/>
      <c r="E248" s="22"/>
      <c r="F248" s="21"/>
      <c r="G248" s="21"/>
      <c r="H248" s="19">
        <f>IF(B248="","",IF(B248="Encaissement",E248,-E248))</f>
      </c>
    </row>
    <row r="249" spans="1:8" x14ac:dyDescent="0.25">
      <c r="A249" s="20"/>
      <c r="B249" s="21"/>
      <c r="C249" s="21"/>
      <c r="D249" s="21"/>
      <c r="E249" s="22"/>
      <c r="F249" s="21"/>
      <c r="G249" s="21"/>
      <c r="H249" s="19">
        <f>IF(B249="","",IF(B249="Encaissement",E249,-E249))</f>
      </c>
    </row>
    <row r="250" spans="1:8" x14ac:dyDescent="0.25">
      <c r="A250" s="20"/>
      <c r="B250" s="21"/>
      <c r="C250" s="21"/>
      <c r="D250" s="21"/>
      <c r="E250" s="22"/>
      <c r="F250" s="21"/>
      <c r="G250" s="21"/>
      <c r="H250" s="19">
        <f>IF(B250="","",IF(B250="Encaissement",E250,-E250))</f>
      </c>
    </row>
    <row r="251" spans="1:8" x14ac:dyDescent="0.25">
      <c r="A251" s="20"/>
      <c r="B251" s="21"/>
      <c r="C251" s="21"/>
      <c r="D251" s="21"/>
      <c r="E251" s="22"/>
      <c r="F251" s="21"/>
      <c r="G251" s="21"/>
      <c r="H251" s="19">
        <f>IF(B251="","",IF(B251="Encaissement",E251,-E251))</f>
      </c>
    </row>
    <row r="252" spans="1:8" x14ac:dyDescent="0.25">
      <c r="A252" s="20"/>
      <c r="B252" s="21"/>
      <c r="C252" s="21"/>
      <c r="D252" s="21"/>
      <c r="E252" s="22"/>
      <c r="F252" s="21"/>
      <c r="G252" s="21"/>
      <c r="H252" s="19">
        <f>IF(B252="","",IF(B252="Encaissement",E252,-E252))</f>
      </c>
    </row>
    <row r="253" spans="1:8" x14ac:dyDescent="0.25">
      <c r="A253" s="20"/>
      <c r="B253" s="21"/>
      <c r="C253" s="21"/>
      <c r="D253" s="21"/>
      <c r="E253" s="22"/>
      <c r="F253" s="21"/>
      <c r="G253" s="21"/>
      <c r="H253" s="19">
        <f>IF(B253="","",IF(B253="Encaissement",E253,-E253))</f>
      </c>
    </row>
    <row r="254" spans="1:8" x14ac:dyDescent="0.25">
      <c r="A254" s="20"/>
      <c r="B254" s="21"/>
      <c r="C254" s="21"/>
      <c r="D254" s="21"/>
      <c r="E254" s="22"/>
      <c r="F254" s="21"/>
      <c r="G254" s="21"/>
      <c r="H254" s="19">
        <f>IF(B254="","",IF(B254="Encaissement",E254,-E254))</f>
      </c>
    </row>
    <row r="255" spans="1:8" x14ac:dyDescent="0.25">
      <c r="A255" s="20"/>
      <c r="B255" s="21"/>
      <c r="C255" s="21"/>
      <c r="D255" s="21"/>
      <c r="E255" s="22"/>
      <c r="F255" s="21"/>
      <c r="G255" s="21"/>
      <c r="H255" s="19">
        <f>IF(B255="","",IF(B255="Encaissement",E255,-E255))</f>
      </c>
    </row>
    <row r="256" spans="1:8" x14ac:dyDescent="0.25">
      <c r="A256" s="20"/>
      <c r="B256" s="21"/>
      <c r="C256" s="21"/>
      <c r="D256" s="21"/>
      <c r="E256" s="22"/>
      <c r="F256" s="21"/>
      <c r="G256" s="21"/>
      <c r="H256" s="19">
        <f>IF(B256="","",IF(B256="Encaissement",E256,-E256))</f>
      </c>
    </row>
    <row r="257" spans="1:8" x14ac:dyDescent="0.25">
      <c r="A257" s="20"/>
      <c r="B257" s="21"/>
      <c r="C257" s="21"/>
      <c r="D257" s="21"/>
      <c r="E257" s="22"/>
      <c r="F257" s="21"/>
      <c r="G257" s="21"/>
      <c r="H257" s="19">
        <f>IF(B257="","",IF(B257="Encaissement",E257,-E257))</f>
      </c>
    </row>
    <row r="258" spans="1:8" x14ac:dyDescent="0.25">
      <c r="A258" s="20"/>
      <c r="B258" s="21"/>
      <c r="C258" s="21"/>
      <c r="D258" s="21"/>
      <c r="E258" s="22"/>
      <c r="F258" s="21"/>
      <c r="G258" s="21"/>
      <c r="H258" s="19">
        <f>IF(B258="","",IF(B258="Encaissement",E258,-E258))</f>
      </c>
    </row>
    <row r="259" spans="1:8" x14ac:dyDescent="0.25">
      <c r="A259" s="20"/>
      <c r="B259" s="21"/>
      <c r="C259" s="21"/>
      <c r="D259" s="21"/>
      <c r="E259" s="22"/>
      <c r="F259" s="21"/>
      <c r="G259" s="21"/>
      <c r="H259" s="19">
        <f>IF(B259="","",IF(B259="Encaissement",E259,-E259))</f>
      </c>
    </row>
    <row r="260" spans="1:8" x14ac:dyDescent="0.25">
      <c r="A260" s="20"/>
      <c r="B260" s="21"/>
      <c r="C260" s="21"/>
      <c r="D260" s="21"/>
      <c r="E260" s="22"/>
      <c r="F260" s="21"/>
      <c r="G260" s="21"/>
      <c r="H260" s="19">
        <f>IF(B260="","",IF(B260="Encaissement",E260,-E260))</f>
      </c>
    </row>
    <row r="261" spans="1:8" x14ac:dyDescent="0.25">
      <c r="A261" s="20"/>
      <c r="B261" s="21"/>
      <c r="C261" s="21"/>
      <c r="D261" s="21"/>
      <c r="E261" s="22"/>
      <c r="F261" s="21"/>
      <c r="G261" s="21"/>
      <c r="H261" s="19">
        <f>IF(B261="","",IF(B261="Encaissement",E261,-E261))</f>
      </c>
    </row>
    <row r="262" spans="1:8" x14ac:dyDescent="0.25">
      <c r="A262" s="20"/>
      <c r="B262" s="21"/>
      <c r="C262" s="21"/>
      <c r="D262" s="21"/>
      <c r="E262" s="22"/>
      <c r="F262" s="21"/>
      <c r="G262" s="21"/>
      <c r="H262" s="19">
        <f>IF(B262="","",IF(B262="Encaissement",E262,-E262))</f>
      </c>
    </row>
    <row r="263" spans="1:8" x14ac:dyDescent="0.25">
      <c r="A263" s="20"/>
      <c r="B263" s="21"/>
      <c r="C263" s="21"/>
      <c r="D263" s="21"/>
      <c r="E263" s="22"/>
      <c r="F263" s="21"/>
      <c r="G263" s="21"/>
      <c r="H263" s="19">
        <f>IF(B263="","",IF(B263="Encaissement",E263,-E263))</f>
      </c>
    </row>
    <row r="264" spans="1:8" x14ac:dyDescent="0.25">
      <c r="A264" s="20"/>
      <c r="B264" s="21"/>
      <c r="C264" s="21"/>
      <c r="D264" s="21"/>
      <c r="E264" s="22"/>
      <c r="F264" s="21"/>
      <c r="G264" s="21"/>
      <c r="H264" s="19">
        <f>IF(B264="","",IF(B264="Encaissement",E264,-E264))</f>
      </c>
    </row>
    <row r="265" spans="1:8" x14ac:dyDescent="0.25">
      <c r="A265" s="20"/>
      <c r="B265" s="21"/>
      <c r="C265" s="21"/>
      <c r="D265" s="21"/>
      <c r="E265" s="22"/>
      <c r="F265" s="21"/>
      <c r="G265" s="21"/>
      <c r="H265" s="19">
        <f>IF(B265="","",IF(B265="Encaissement",E265,-E265))</f>
      </c>
    </row>
    <row r="266" spans="1:8" x14ac:dyDescent="0.25">
      <c r="A266" s="20"/>
      <c r="B266" s="21"/>
      <c r="C266" s="21"/>
      <c r="D266" s="21"/>
      <c r="E266" s="22"/>
      <c r="F266" s="21"/>
      <c r="G266" s="21"/>
      <c r="H266" s="19">
        <f>IF(B266="","",IF(B266="Encaissement",E266,-E266))</f>
      </c>
    </row>
    <row r="267" spans="1:8" x14ac:dyDescent="0.25">
      <c r="A267" s="20"/>
      <c r="B267" s="21"/>
      <c r="C267" s="21"/>
      <c r="D267" s="21"/>
      <c r="E267" s="22"/>
      <c r="F267" s="21"/>
      <c r="G267" s="21"/>
      <c r="H267" s="19">
        <f>IF(B267="","",IF(B267="Encaissement",E267,-E267))</f>
      </c>
    </row>
    <row r="268" spans="1:8" x14ac:dyDescent="0.25">
      <c r="A268" s="20"/>
      <c r="B268" s="21"/>
      <c r="C268" s="21"/>
      <c r="D268" s="21"/>
      <c r="E268" s="22"/>
      <c r="F268" s="21"/>
      <c r="G268" s="21"/>
      <c r="H268" s="19">
        <f>IF(B268="","",IF(B268="Encaissement",E268,-E268))</f>
      </c>
    </row>
    <row r="269" spans="1:8" x14ac:dyDescent="0.25">
      <c r="A269" s="20"/>
      <c r="B269" s="21"/>
      <c r="C269" s="21"/>
      <c r="D269" s="21"/>
      <c r="E269" s="22"/>
      <c r="F269" s="21"/>
      <c r="G269" s="21"/>
      <c r="H269" s="19">
        <f>IF(B269="","",IF(B269="Encaissement",E269,-E269))</f>
      </c>
    </row>
    <row r="270" spans="1:8" x14ac:dyDescent="0.25">
      <c r="A270" s="20"/>
      <c r="B270" s="21"/>
      <c r="C270" s="21"/>
      <c r="D270" s="21"/>
      <c r="E270" s="22"/>
      <c r="F270" s="21"/>
      <c r="G270" s="21"/>
      <c r="H270" s="19">
        <f>IF(B270="","",IF(B270="Encaissement",E270,-E270))</f>
      </c>
    </row>
    <row r="271" spans="1:8" x14ac:dyDescent="0.25">
      <c r="A271" s="20"/>
      <c r="B271" s="21"/>
      <c r="C271" s="21"/>
      <c r="D271" s="21"/>
      <c r="E271" s="22"/>
      <c r="F271" s="21"/>
      <c r="G271" s="21"/>
      <c r="H271" s="19">
        <f>IF(B271="","",IF(B271="Encaissement",E271,-E271))</f>
      </c>
    </row>
    <row r="272" spans="1:8" x14ac:dyDescent="0.25">
      <c r="A272" s="20"/>
      <c r="B272" s="21"/>
      <c r="C272" s="21"/>
      <c r="D272" s="21"/>
      <c r="E272" s="22"/>
      <c r="F272" s="21"/>
      <c r="G272" s="21"/>
      <c r="H272" s="19">
        <f>IF(B272="","",IF(B272="Encaissement",E272,-E272))</f>
      </c>
    </row>
    <row r="273" spans="1:8" x14ac:dyDescent="0.25">
      <c r="A273" s="20"/>
      <c r="B273" s="21"/>
      <c r="C273" s="21"/>
      <c r="D273" s="21"/>
      <c r="E273" s="22"/>
      <c r="F273" s="21"/>
      <c r="G273" s="21"/>
      <c r="H273" s="19">
        <f>IF(B273="","",IF(B273="Encaissement",E273,-E273))</f>
      </c>
    </row>
    <row r="274" spans="1:8" x14ac:dyDescent="0.25">
      <c r="A274" s="20"/>
      <c r="B274" s="21"/>
      <c r="C274" s="21"/>
      <c r="D274" s="21"/>
      <c r="E274" s="22"/>
      <c r="F274" s="21"/>
      <c r="G274" s="21"/>
      <c r="H274" s="19">
        <f>IF(B274="","",IF(B274="Encaissement",E274,-E274))</f>
      </c>
    </row>
    <row r="275" spans="1:8" x14ac:dyDescent="0.25">
      <c r="A275" s="20"/>
      <c r="B275" s="21"/>
      <c r="C275" s="21"/>
      <c r="D275" s="21"/>
      <c r="E275" s="22"/>
      <c r="F275" s="21"/>
      <c r="G275" s="21"/>
      <c r="H275" s="19">
        <f>IF(B275="","",IF(B275="Encaissement",E275,-E275))</f>
      </c>
    </row>
    <row r="276" spans="1:8" x14ac:dyDescent="0.25">
      <c r="A276" s="20"/>
      <c r="B276" s="21"/>
      <c r="C276" s="21"/>
      <c r="D276" s="21"/>
      <c r="E276" s="22"/>
      <c r="F276" s="21"/>
      <c r="G276" s="21"/>
      <c r="H276" s="19">
        <f>IF(B276="","",IF(B276="Encaissement",E276,-E276))</f>
      </c>
    </row>
    <row r="277" spans="1:8" x14ac:dyDescent="0.25">
      <c r="A277" s="20"/>
      <c r="B277" s="21"/>
      <c r="C277" s="21"/>
      <c r="D277" s="21"/>
      <c r="E277" s="22"/>
      <c r="F277" s="21"/>
      <c r="G277" s="21"/>
      <c r="H277" s="19">
        <f>IF(B277="","",IF(B277="Encaissement",E277,-E277))</f>
      </c>
    </row>
    <row r="278" spans="1:8" x14ac:dyDescent="0.25">
      <c r="A278" s="20"/>
      <c r="B278" s="21"/>
      <c r="C278" s="21"/>
      <c r="D278" s="21"/>
      <c r="E278" s="22"/>
      <c r="F278" s="21"/>
      <c r="G278" s="21"/>
      <c r="H278" s="19">
        <f>IF(B278="","",IF(B278="Encaissement",E278,-E278))</f>
      </c>
    </row>
    <row r="279" spans="1:8" x14ac:dyDescent="0.25">
      <c r="A279" s="20"/>
      <c r="B279" s="21"/>
      <c r="C279" s="21"/>
      <c r="D279" s="21"/>
      <c r="E279" s="22"/>
      <c r="F279" s="21"/>
      <c r="G279" s="21"/>
      <c r="H279" s="19">
        <f>IF(B279="","",IF(B279="Encaissement",E279,-E279))</f>
      </c>
    </row>
    <row r="280" spans="1:8" x14ac:dyDescent="0.25">
      <c r="A280" s="20"/>
      <c r="B280" s="21"/>
      <c r="C280" s="21"/>
      <c r="D280" s="21"/>
      <c r="E280" s="22"/>
      <c r="F280" s="21"/>
      <c r="G280" s="21"/>
      <c r="H280" s="19">
        <f>IF(B280="","",IF(B280="Encaissement",E280,-E280))</f>
      </c>
    </row>
    <row r="281" spans="1:8" x14ac:dyDescent="0.25">
      <c r="A281" s="20"/>
      <c r="B281" s="21"/>
      <c r="C281" s="21"/>
      <c r="D281" s="21"/>
      <c r="E281" s="22"/>
      <c r="F281" s="21"/>
      <c r="G281" s="21"/>
      <c r="H281" s="19">
        <f>IF(B281="","",IF(B281="Encaissement",E281,-E281))</f>
      </c>
    </row>
    <row r="282" spans="1:8" x14ac:dyDescent="0.25">
      <c r="A282" s="20"/>
      <c r="B282" s="21"/>
      <c r="C282" s="21"/>
      <c r="D282" s="21"/>
      <c r="E282" s="22"/>
      <c r="F282" s="21"/>
      <c r="G282" s="21"/>
      <c r="H282" s="19">
        <f>IF(B282="","",IF(B282="Encaissement",E282,-E282))</f>
      </c>
    </row>
    <row r="283" spans="1:8" x14ac:dyDescent="0.25">
      <c r="A283" s="20"/>
      <c r="B283" s="21"/>
      <c r="C283" s="21"/>
      <c r="D283" s="21"/>
      <c r="E283" s="22"/>
      <c r="F283" s="21"/>
      <c r="G283" s="21"/>
      <c r="H283" s="19">
        <f>IF(B283="","",IF(B283="Encaissement",E283,-E283))</f>
      </c>
    </row>
    <row r="284" spans="1:8" x14ac:dyDescent="0.25">
      <c r="A284" s="20"/>
      <c r="B284" s="21"/>
      <c r="C284" s="21"/>
      <c r="D284" s="21"/>
      <c r="E284" s="22"/>
      <c r="F284" s="21"/>
      <c r="G284" s="21"/>
      <c r="H284" s="19">
        <f>IF(B284="","",IF(B284="Encaissement",E284,-E284))</f>
      </c>
    </row>
    <row r="285" spans="1:8" x14ac:dyDescent="0.25">
      <c r="A285" s="20"/>
      <c r="B285" s="21"/>
      <c r="C285" s="21"/>
      <c r="D285" s="21"/>
      <c r="E285" s="22"/>
      <c r="F285" s="21"/>
      <c r="G285" s="21"/>
      <c r="H285" s="19">
        <f>IF(B285="","",IF(B285="Encaissement",E285,-E285))</f>
      </c>
    </row>
    <row r="286" spans="1:8" x14ac:dyDescent="0.25">
      <c r="A286" s="20"/>
      <c r="B286" s="21"/>
      <c r="C286" s="21"/>
      <c r="D286" s="21"/>
      <c r="E286" s="22"/>
      <c r="F286" s="21"/>
      <c r="G286" s="21"/>
      <c r="H286" s="19">
        <f>IF(B286="","",IF(B286="Encaissement",E286,-E286))</f>
      </c>
    </row>
    <row r="287" spans="1:8" x14ac:dyDescent="0.25">
      <c r="A287" s="20"/>
      <c r="B287" s="21"/>
      <c r="C287" s="21"/>
      <c r="D287" s="21"/>
      <c r="E287" s="22"/>
      <c r="F287" s="21"/>
      <c r="G287" s="21"/>
      <c r="H287" s="19">
        <f>IF(B287="","",IF(B287="Encaissement",E287,-E287))</f>
      </c>
    </row>
    <row r="288" spans="1:8" x14ac:dyDescent="0.25">
      <c r="A288" s="20"/>
      <c r="B288" s="21"/>
      <c r="C288" s="21"/>
      <c r="D288" s="21"/>
      <c r="E288" s="22"/>
      <c r="F288" s="21"/>
      <c r="G288" s="21"/>
      <c r="H288" s="19">
        <f>IF(B288="","",IF(B288="Encaissement",E288,-E288))</f>
      </c>
    </row>
    <row r="289" spans="1:8" x14ac:dyDescent="0.25">
      <c r="A289" s="20"/>
      <c r="B289" s="21"/>
      <c r="C289" s="21"/>
      <c r="D289" s="21"/>
      <c r="E289" s="22"/>
      <c r="F289" s="21"/>
      <c r="G289" s="21"/>
      <c r="H289" s="19">
        <f>IF(B289="","",IF(B289="Encaissement",E289,-E289))</f>
      </c>
    </row>
    <row r="290" spans="1:8" x14ac:dyDescent="0.25">
      <c r="A290" s="20"/>
      <c r="B290" s="21"/>
      <c r="C290" s="21"/>
      <c r="D290" s="21"/>
      <c r="E290" s="22"/>
      <c r="F290" s="21"/>
      <c r="G290" s="21"/>
      <c r="H290" s="19">
        <f>IF(B290="","",IF(B290="Encaissement",E290,-E290))</f>
      </c>
    </row>
    <row r="291" spans="1:8" x14ac:dyDescent="0.25">
      <c r="A291" s="20"/>
      <c r="B291" s="21"/>
      <c r="C291" s="21"/>
      <c r="D291" s="21"/>
      <c r="E291" s="22"/>
      <c r="F291" s="21"/>
      <c r="G291" s="21"/>
      <c r="H291" s="19">
        <f>IF(B291="","",IF(B291="Encaissement",E291,-E291))</f>
      </c>
    </row>
    <row r="292" spans="1:8" x14ac:dyDescent="0.25">
      <c r="A292" s="20"/>
      <c r="B292" s="21"/>
      <c r="C292" s="21"/>
      <c r="D292" s="21"/>
      <c r="E292" s="22"/>
      <c r="F292" s="21"/>
      <c r="G292" s="21"/>
      <c r="H292" s="19">
        <f>IF(B292="","",IF(B292="Encaissement",E292,-E292))</f>
      </c>
    </row>
    <row r="293" spans="1:8" x14ac:dyDescent="0.25">
      <c r="A293" s="20"/>
      <c r="B293" s="21"/>
      <c r="C293" s="21"/>
      <c r="D293" s="21"/>
      <c r="E293" s="22"/>
      <c r="F293" s="21"/>
      <c r="G293" s="21"/>
      <c r="H293" s="19">
        <f>IF(B293="","",IF(B293="Encaissement",E293,-E293))</f>
      </c>
    </row>
    <row r="294" spans="1:8" x14ac:dyDescent="0.25">
      <c r="A294" s="20"/>
      <c r="B294" s="21"/>
      <c r="C294" s="21"/>
      <c r="D294" s="21"/>
      <c r="E294" s="22"/>
      <c r="F294" s="21"/>
      <c r="G294" s="21"/>
      <c r="H294" s="19">
        <f>IF(B294="","",IF(B294="Encaissement",E294,-E294))</f>
      </c>
    </row>
    <row r="295" spans="1:8" x14ac:dyDescent="0.25">
      <c r="A295" s="20"/>
      <c r="B295" s="21"/>
      <c r="C295" s="21"/>
      <c r="D295" s="21"/>
      <c r="E295" s="22"/>
      <c r="F295" s="21"/>
      <c r="G295" s="21"/>
      <c r="H295" s="19">
        <f>IF(B295="","",IF(B295="Encaissement",E295,-E295))</f>
      </c>
    </row>
    <row r="296" spans="1:8" x14ac:dyDescent="0.25">
      <c r="A296" s="20"/>
      <c r="B296" s="21"/>
      <c r="C296" s="21"/>
      <c r="D296" s="21"/>
      <c r="E296" s="22"/>
      <c r="F296" s="21"/>
      <c r="G296" s="21"/>
      <c r="H296" s="19">
        <f>IF(B296="","",IF(B296="Encaissement",E296,-E296))</f>
      </c>
    </row>
    <row r="297" spans="1:8" x14ac:dyDescent="0.25">
      <c r="A297" s="20"/>
      <c r="B297" s="21"/>
      <c r="C297" s="21"/>
      <c r="D297" s="21"/>
      <c r="E297" s="22"/>
      <c r="F297" s="21"/>
      <c r="G297" s="21"/>
      <c r="H297" s="19">
        <f>IF(B297="","",IF(B297="Encaissement",E297,-E297))</f>
      </c>
    </row>
    <row r="298" spans="1:8" x14ac:dyDescent="0.25">
      <c r="A298" s="20"/>
      <c r="B298" s="21"/>
      <c r="C298" s="21"/>
      <c r="D298" s="21"/>
      <c r="E298" s="22"/>
      <c r="F298" s="21"/>
      <c r="G298" s="21"/>
      <c r="H298" s="19">
        <f>IF(B298="","",IF(B298="Encaissement",E298,-E298))</f>
      </c>
    </row>
    <row r="299" spans="1:8" x14ac:dyDescent="0.25">
      <c r="A299" s="20"/>
      <c r="B299" s="21"/>
      <c r="C299" s="21"/>
      <c r="D299" s="21"/>
      <c r="E299" s="22"/>
      <c r="F299" s="21"/>
      <c r="G299" s="21"/>
      <c r="H299" s="19">
        <f>IF(B299="","",IF(B299="Encaissement",E299,-E299))</f>
      </c>
    </row>
    <row r="300" spans="1:8" x14ac:dyDescent="0.25">
      <c r="A300" s="20"/>
      <c r="B300" s="21"/>
      <c r="C300" s="21"/>
      <c r="D300" s="21"/>
      <c r="E300" s="22"/>
      <c r="F300" s="21"/>
      <c r="G300" s="21"/>
      <c r="H300" s="19">
        <f>IF(B300="","",IF(B300="Encaissement",E300,-E300))</f>
      </c>
    </row>
    <row r="301" spans="1:8" x14ac:dyDescent="0.25">
      <c r="A301" s="20"/>
      <c r="B301" s="21"/>
      <c r="C301" s="21"/>
      <c r="D301" s="21"/>
      <c r="E301" s="22"/>
      <c r="F301" s="21"/>
      <c r="G301" s="21"/>
      <c r="H301" s="19">
        <f>IF(B301="","",IF(B301="Encaissement",E301,-E301))</f>
      </c>
    </row>
    <row r="302" spans="1:8" x14ac:dyDescent="0.25">
      <c r="A302" s="20"/>
      <c r="B302" s="21"/>
      <c r="C302" s="21"/>
      <c r="D302" s="21"/>
      <c r="E302" s="22"/>
      <c r="F302" s="21"/>
      <c r="G302" s="21"/>
      <c r="H302" s="19">
        <f>IF(B302="","",IF(B302="Encaissement",E302,-E302))</f>
      </c>
    </row>
    <row r="303" spans="1:8" x14ac:dyDescent="0.25">
      <c r="A303" s="20"/>
      <c r="B303" s="21"/>
      <c r="C303" s="21"/>
      <c r="D303" s="21"/>
      <c r="E303" s="22"/>
      <c r="F303" s="21"/>
      <c r="G303" s="21"/>
      <c r="H303" s="19">
        <f>IF(B303="","",IF(B303="Encaissement",E303,-E303))</f>
      </c>
    </row>
    <row r="304" spans="1:8" x14ac:dyDescent="0.25">
      <c r="A304" s="20"/>
      <c r="B304" s="21"/>
      <c r="C304" s="21"/>
      <c r="D304" s="21"/>
      <c r="E304" s="22"/>
      <c r="F304" s="21"/>
      <c r="G304" s="21"/>
      <c r="H304" s="19">
        <f>IF(B304="","",IF(B304="Encaissement",E304,-E304))</f>
      </c>
    </row>
    <row r="305" spans="1:8" x14ac:dyDescent="0.25">
      <c r="A305" s="20"/>
      <c r="B305" s="21"/>
      <c r="C305" s="21"/>
      <c r="D305" s="21"/>
      <c r="E305" s="22"/>
      <c r="F305" s="21"/>
      <c r="G305" s="21"/>
      <c r="H305" s="19">
        <f>IF(B305="","",IF(B305="Encaissement",E305,-E305))</f>
      </c>
    </row>
    <row r="306" spans="1:8" x14ac:dyDescent="0.25">
      <c r="A306" s="20"/>
      <c r="B306" s="21"/>
      <c r="C306" s="21"/>
      <c r="D306" s="21"/>
      <c r="E306" s="22"/>
      <c r="F306" s="21"/>
      <c r="G306" s="21"/>
      <c r="H306" s="19">
        <f>IF(B306="","",IF(B306="Encaissement",E306,-E306))</f>
      </c>
    </row>
    <row r="307" spans="1:8" x14ac:dyDescent="0.25">
      <c r="A307" s="20"/>
      <c r="B307" s="21"/>
      <c r="C307" s="21"/>
      <c r="D307" s="21"/>
      <c r="E307" s="22"/>
      <c r="F307" s="21"/>
      <c r="G307" s="21"/>
      <c r="H307" s="19">
        <f>IF(B307="","",IF(B307="Encaissement",E307,-E307))</f>
      </c>
    </row>
    <row r="308" spans="1:8" x14ac:dyDescent="0.25">
      <c r="A308" s="20"/>
      <c r="B308" s="21"/>
      <c r="C308" s="21"/>
      <c r="D308" s="21"/>
      <c r="E308" s="22"/>
      <c r="F308" s="21"/>
      <c r="G308" s="21"/>
      <c r="H308" s="19">
        <f>IF(B308="","",IF(B308="Encaissement",E308,-E308))</f>
      </c>
    </row>
    <row r="309" spans="1:8" x14ac:dyDescent="0.25">
      <c r="A309" s="20"/>
      <c r="B309" s="21"/>
      <c r="C309" s="21"/>
      <c r="D309" s="21"/>
      <c r="E309" s="22"/>
      <c r="F309" s="21"/>
      <c r="G309" s="21"/>
      <c r="H309" s="19">
        <f>IF(B309="","",IF(B309="Encaissement",E309,-E309))</f>
      </c>
    </row>
    <row r="310" spans="1:8" x14ac:dyDescent="0.25">
      <c r="A310" s="20"/>
      <c r="B310" s="21"/>
      <c r="C310" s="21"/>
      <c r="D310" s="21"/>
      <c r="E310" s="22"/>
      <c r="F310" s="21"/>
      <c r="G310" s="21"/>
      <c r="H310" s="19">
        <f>IF(B310="","",IF(B310="Encaissement",E310,-E310))</f>
      </c>
    </row>
    <row r="311" spans="1:8" x14ac:dyDescent="0.25">
      <c r="A311" s="20"/>
      <c r="B311" s="21"/>
      <c r="C311" s="21"/>
      <c r="D311" s="21"/>
      <c r="E311" s="22"/>
      <c r="F311" s="21"/>
      <c r="G311" s="21"/>
      <c r="H311" s="19">
        <f>IF(B311="","",IF(B311="Encaissement",E311,-E311))</f>
      </c>
    </row>
    <row r="312" spans="1:8" x14ac:dyDescent="0.25">
      <c r="A312" s="20"/>
      <c r="B312" s="21"/>
      <c r="C312" s="21"/>
      <c r="D312" s="21"/>
      <c r="E312" s="22"/>
      <c r="F312" s="21"/>
      <c r="G312" s="21"/>
      <c r="H312" s="19">
        <f>IF(B312="","",IF(B312="Encaissement",E312,-E312))</f>
      </c>
    </row>
    <row r="313" spans="1:8" x14ac:dyDescent="0.25">
      <c r="A313" s="20"/>
      <c r="B313" s="21"/>
      <c r="C313" s="21"/>
      <c r="D313" s="21"/>
      <c r="E313" s="22"/>
      <c r="F313" s="21"/>
      <c r="G313" s="21"/>
      <c r="H313" s="19">
        <f>IF(B313="","",IF(B313="Encaissement",E313,-E313))</f>
      </c>
    </row>
    <row r="314" spans="1:8" x14ac:dyDescent="0.25">
      <c r="A314" s="20"/>
      <c r="B314" s="21"/>
      <c r="C314" s="21"/>
      <c r="D314" s="21"/>
      <c r="E314" s="22"/>
      <c r="F314" s="21"/>
      <c r="G314" s="21"/>
      <c r="H314" s="19">
        <f>IF(B314="","",IF(B314="Encaissement",E314,-E314))</f>
      </c>
    </row>
    <row r="315" spans="1:8" x14ac:dyDescent="0.25">
      <c r="A315" s="20"/>
      <c r="B315" s="21"/>
      <c r="C315" s="21"/>
      <c r="D315" s="21"/>
      <c r="E315" s="22"/>
      <c r="F315" s="21"/>
      <c r="G315" s="21"/>
      <c r="H315" s="19">
        <f>IF(B315="","",IF(B315="Encaissement",E315,-E315))</f>
      </c>
    </row>
    <row r="316" spans="1:8" x14ac:dyDescent="0.25">
      <c r="A316" s="20"/>
      <c r="B316" s="21"/>
      <c r="C316" s="21"/>
      <c r="D316" s="21"/>
      <c r="E316" s="22"/>
      <c r="F316" s="21"/>
      <c r="G316" s="21"/>
      <c r="H316" s="19">
        <f>IF(B316="","",IF(B316="Encaissement",E316,-E316))</f>
      </c>
    </row>
    <row r="317" spans="1:8" x14ac:dyDescent="0.25">
      <c r="A317" s="20"/>
      <c r="B317" s="21"/>
      <c r="C317" s="21"/>
      <c r="D317" s="21"/>
      <c r="E317" s="22"/>
      <c r="F317" s="21"/>
      <c r="G317" s="21"/>
      <c r="H317" s="19">
        <f>IF(B317="","",IF(B317="Encaissement",E317,-E317))</f>
      </c>
    </row>
    <row r="318" spans="1:8" x14ac:dyDescent="0.25">
      <c r="A318" s="20"/>
      <c r="B318" s="21"/>
      <c r="C318" s="21"/>
      <c r="D318" s="21"/>
      <c r="E318" s="22"/>
      <c r="F318" s="21"/>
      <c r="G318" s="21"/>
      <c r="H318" s="19">
        <f>IF(B318="","",IF(B318="Encaissement",E318,-E318))</f>
      </c>
    </row>
    <row r="319" spans="1:8" x14ac:dyDescent="0.25">
      <c r="A319" s="20"/>
      <c r="B319" s="21"/>
      <c r="C319" s="21"/>
      <c r="D319" s="21"/>
      <c r="E319" s="22"/>
      <c r="F319" s="21"/>
      <c r="G319" s="21"/>
      <c r="H319" s="19">
        <f>IF(B319="","",IF(B319="Encaissement",E319,-E319))</f>
      </c>
    </row>
    <row r="320" spans="1:8" x14ac:dyDescent="0.25">
      <c r="A320" s="20"/>
      <c r="B320" s="21"/>
      <c r="C320" s="21"/>
      <c r="D320" s="21"/>
      <c r="E320" s="22"/>
      <c r="F320" s="21"/>
      <c r="G320" s="21"/>
      <c r="H320" s="19">
        <f>IF(B320="","",IF(B320="Encaissement",E320,-E320))</f>
      </c>
    </row>
    <row r="321" spans="1:8" x14ac:dyDescent="0.25">
      <c r="A321" s="20"/>
      <c r="B321" s="21"/>
      <c r="C321" s="21"/>
      <c r="D321" s="21"/>
      <c r="E321" s="22"/>
      <c r="F321" s="21"/>
      <c r="G321" s="21"/>
      <c r="H321" s="19">
        <f>IF(B321="","",IF(B321="Encaissement",E321,-E321))</f>
      </c>
    </row>
    <row r="322" spans="1:8" x14ac:dyDescent="0.25">
      <c r="A322" s="20"/>
      <c r="B322" s="21"/>
      <c r="C322" s="21"/>
      <c r="D322" s="21"/>
      <c r="E322" s="22"/>
      <c r="F322" s="21"/>
      <c r="G322" s="21"/>
      <c r="H322" s="19">
        <f>IF(B322="","",IF(B322="Encaissement",E322,-E322))</f>
      </c>
    </row>
    <row r="323" spans="1:8" x14ac:dyDescent="0.25">
      <c r="A323" s="20"/>
      <c r="B323" s="21"/>
      <c r="C323" s="21"/>
      <c r="D323" s="21"/>
      <c r="E323" s="22"/>
      <c r="F323" s="21"/>
      <c r="G323" s="21"/>
      <c r="H323" s="19">
        <f>IF(B323="","",IF(B323="Encaissement",E323,-E323))</f>
      </c>
    </row>
    <row r="324" spans="1:8" x14ac:dyDescent="0.25">
      <c r="A324" s="20"/>
      <c r="B324" s="21"/>
      <c r="C324" s="21"/>
      <c r="D324" s="21"/>
      <c r="E324" s="22"/>
      <c r="F324" s="21"/>
      <c r="G324" s="21"/>
      <c r="H324" s="19">
        <f>IF(B324="","",IF(B324="Encaissement",E324,-E324))</f>
      </c>
    </row>
    <row r="325" spans="1:8" x14ac:dyDescent="0.25">
      <c r="A325" s="20"/>
      <c r="B325" s="21"/>
      <c r="C325" s="21"/>
      <c r="D325" s="21"/>
      <c r="E325" s="22"/>
      <c r="F325" s="21"/>
      <c r="G325" s="21"/>
      <c r="H325" s="19">
        <f>IF(B325="","",IF(B325="Encaissement",E325,-E325))</f>
      </c>
    </row>
    <row r="326" spans="1:8" x14ac:dyDescent="0.25">
      <c r="A326" s="20"/>
      <c r="B326" s="21"/>
      <c r="C326" s="21"/>
      <c r="D326" s="21"/>
      <c r="E326" s="22"/>
      <c r="F326" s="21"/>
      <c r="G326" s="21"/>
      <c r="H326" s="19">
        <f>IF(B326="","",IF(B326="Encaissement",E326,-E326))</f>
      </c>
    </row>
    <row r="327" spans="1:8" x14ac:dyDescent="0.25">
      <c r="A327" s="20"/>
      <c r="B327" s="21"/>
      <c r="C327" s="21"/>
      <c r="D327" s="21"/>
      <c r="E327" s="22"/>
      <c r="F327" s="21"/>
      <c r="G327" s="21"/>
      <c r="H327" s="19">
        <f>IF(B327="","",IF(B327="Encaissement",E327,-E327))</f>
      </c>
    </row>
    <row r="328" spans="1:8" x14ac:dyDescent="0.25">
      <c r="A328" s="20"/>
      <c r="B328" s="21"/>
      <c r="C328" s="21"/>
      <c r="D328" s="21"/>
      <c r="E328" s="22"/>
      <c r="F328" s="21"/>
      <c r="G328" s="21"/>
      <c r="H328" s="19">
        <f>IF(B328="","",IF(B328="Encaissement",E328,-E328))</f>
      </c>
    </row>
    <row r="329" spans="1:8" x14ac:dyDescent="0.25">
      <c r="A329" s="20"/>
      <c r="B329" s="21"/>
      <c r="C329" s="21"/>
      <c r="D329" s="21"/>
      <c r="E329" s="22"/>
      <c r="F329" s="21"/>
      <c r="G329" s="21"/>
      <c r="H329" s="19">
        <f>IF(B329="","",IF(B329="Encaissement",E329,-E329))</f>
      </c>
    </row>
    <row r="330" spans="1:8" x14ac:dyDescent="0.25">
      <c r="A330" s="20"/>
      <c r="B330" s="21"/>
      <c r="C330" s="21"/>
      <c r="D330" s="21"/>
      <c r="E330" s="22"/>
      <c r="F330" s="21"/>
      <c r="G330" s="21"/>
      <c r="H330" s="19">
        <f>IF(B330="","",IF(B330="Encaissement",E330,-E330))</f>
      </c>
    </row>
    <row r="331" spans="1:8" x14ac:dyDescent="0.25">
      <c r="A331" s="20"/>
      <c r="B331" s="21"/>
      <c r="C331" s="21"/>
      <c r="D331" s="21"/>
      <c r="E331" s="22"/>
      <c r="F331" s="21"/>
      <c r="G331" s="21"/>
      <c r="H331" s="19">
        <f>IF(B331="","",IF(B331="Encaissement",E331,-E331))</f>
      </c>
    </row>
    <row r="332" spans="1:8" x14ac:dyDescent="0.25">
      <c r="A332" s="20"/>
      <c r="B332" s="21"/>
      <c r="C332" s="21"/>
      <c r="D332" s="21"/>
      <c r="E332" s="22"/>
      <c r="F332" s="21"/>
      <c r="G332" s="21"/>
      <c r="H332" s="19">
        <f>IF(B332="","",IF(B332="Encaissement",E332,-E332))</f>
      </c>
    </row>
    <row r="333" spans="1:8" x14ac:dyDescent="0.25">
      <c r="A333" s="20"/>
      <c r="B333" s="21"/>
      <c r="C333" s="21"/>
      <c r="D333" s="21"/>
      <c r="E333" s="22"/>
      <c r="F333" s="21"/>
      <c r="G333" s="21"/>
      <c r="H333" s="19">
        <f>IF(B333="","",IF(B333="Encaissement",E333,-E333))</f>
      </c>
    </row>
    <row r="334" spans="1:8" x14ac:dyDescent="0.25">
      <c r="A334" s="20"/>
      <c r="B334" s="21"/>
      <c r="C334" s="21"/>
      <c r="D334" s="21"/>
      <c r="E334" s="22"/>
      <c r="F334" s="21"/>
      <c r="G334" s="21"/>
      <c r="H334" s="19">
        <f>IF(B334="","",IF(B334="Encaissement",E334,-E334))</f>
      </c>
    </row>
    <row r="335" spans="1:8" x14ac:dyDescent="0.25">
      <c r="A335" s="20"/>
      <c r="B335" s="21"/>
      <c r="C335" s="21"/>
      <c r="D335" s="21"/>
      <c r="E335" s="22"/>
      <c r="F335" s="21"/>
      <c r="G335" s="21"/>
      <c r="H335" s="19">
        <f>IF(B335="","",IF(B335="Encaissement",E335,-E335))</f>
      </c>
    </row>
    <row r="336" spans="1:8" x14ac:dyDescent="0.25">
      <c r="A336" s="20"/>
      <c r="B336" s="21"/>
      <c r="C336" s="21"/>
      <c r="D336" s="21"/>
      <c r="E336" s="22"/>
      <c r="F336" s="21"/>
      <c r="G336" s="21"/>
      <c r="H336" s="19">
        <f>IF(B336="","",IF(B336="Encaissement",E336,-E336))</f>
      </c>
    </row>
    <row r="337" spans="1:8" x14ac:dyDescent="0.25">
      <c r="A337" s="20"/>
      <c r="B337" s="21"/>
      <c r="C337" s="21"/>
      <c r="D337" s="21"/>
      <c r="E337" s="22"/>
      <c r="F337" s="21"/>
      <c r="G337" s="21"/>
      <c r="H337" s="19">
        <f>IF(B337="","",IF(B337="Encaissement",E337,-E337))</f>
      </c>
    </row>
    <row r="338" spans="1:8" x14ac:dyDescent="0.25">
      <c r="A338" s="20"/>
      <c r="B338" s="21"/>
      <c r="C338" s="21"/>
      <c r="D338" s="21"/>
      <c r="E338" s="22"/>
      <c r="F338" s="21"/>
      <c r="G338" s="21"/>
      <c r="H338" s="19">
        <f>IF(B338="","",IF(B338="Encaissement",E338,-E338))</f>
      </c>
    </row>
    <row r="339" spans="1:8" x14ac:dyDescent="0.25">
      <c r="A339" s="20"/>
      <c r="B339" s="21"/>
      <c r="C339" s="21"/>
      <c r="D339" s="21"/>
      <c r="E339" s="22"/>
      <c r="F339" s="21"/>
      <c r="G339" s="21"/>
      <c r="H339" s="19">
        <f>IF(B339="","",IF(B339="Encaissement",E339,-E339))</f>
      </c>
    </row>
    <row r="340" spans="1:8" x14ac:dyDescent="0.25">
      <c r="A340" s="20"/>
      <c r="B340" s="21"/>
      <c r="C340" s="21"/>
      <c r="D340" s="21"/>
      <c r="E340" s="22"/>
      <c r="F340" s="21"/>
      <c r="G340" s="21"/>
      <c r="H340" s="19">
        <f>IF(B340="","",IF(B340="Encaissement",E340,-E340))</f>
      </c>
    </row>
    <row r="341" spans="1:8" x14ac:dyDescent="0.25">
      <c r="A341" s="20"/>
      <c r="B341" s="21"/>
      <c r="C341" s="21"/>
      <c r="D341" s="21"/>
      <c r="E341" s="22"/>
      <c r="F341" s="21"/>
      <c r="G341" s="21"/>
      <c r="H341" s="19">
        <f>IF(B341="","",IF(B341="Encaissement",E341,-E341))</f>
      </c>
    </row>
    <row r="342" spans="1:8" x14ac:dyDescent="0.25">
      <c r="A342" s="20"/>
      <c r="B342" s="21"/>
      <c r="C342" s="21"/>
      <c r="D342" s="21"/>
      <c r="E342" s="22"/>
      <c r="F342" s="21"/>
      <c r="G342" s="21"/>
      <c r="H342" s="19">
        <f>IF(B342="","",IF(B342="Encaissement",E342,-E342))</f>
      </c>
    </row>
    <row r="343" spans="1:8" x14ac:dyDescent="0.25">
      <c r="A343" s="20"/>
      <c r="B343" s="21"/>
      <c r="C343" s="21"/>
      <c r="D343" s="21"/>
      <c r="E343" s="22"/>
      <c r="F343" s="21"/>
      <c r="G343" s="21"/>
      <c r="H343" s="19">
        <f>IF(B343="","",IF(B343="Encaissement",E343,-E343))</f>
      </c>
    </row>
    <row r="344" spans="1:8" x14ac:dyDescent="0.25">
      <c r="A344" s="20"/>
      <c r="B344" s="21"/>
      <c r="C344" s="21"/>
      <c r="D344" s="21"/>
      <c r="E344" s="22"/>
      <c r="F344" s="21"/>
      <c r="G344" s="21"/>
      <c r="H344" s="19">
        <f>IF(B344="","",IF(B344="Encaissement",E344,-E344))</f>
      </c>
    </row>
    <row r="345" spans="1:8" x14ac:dyDescent="0.25">
      <c r="A345" s="20"/>
      <c r="B345" s="21"/>
      <c r="C345" s="21"/>
      <c r="D345" s="21"/>
      <c r="E345" s="22"/>
      <c r="F345" s="21"/>
      <c r="G345" s="21"/>
      <c r="H345" s="19">
        <f>IF(B345="","",IF(B345="Encaissement",E345,-E345))</f>
      </c>
    </row>
    <row r="346" spans="1:8" x14ac:dyDescent="0.25">
      <c r="A346" s="20"/>
      <c r="B346" s="21"/>
      <c r="C346" s="21"/>
      <c r="D346" s="21"/>
      <c r="E346" s="22"/>
      <c r="F346" s="21"/>
      <c r="G346" s="21"/>
      <c r="H346" s="19">
        <f>IF(B346="","",IF(B346="Encaissement",E346,-E346))</f>
      </c>
    </row>
    <row r="347" spans="1:8" x14ac:dyDescent="0.25">
      <c r="A347" s="20"/>
      <c r="B347" s="21"/>
      <c r="C347" s="21"/>
      <c r="D347" s="21"/>
      <c r="E347" s="22"/>
      <c r="F347" s="21"/>
      <c r="G347" s="21"/>
      <c r="H347" s="19">
        <f>IF(B347="","",IF(B347="Encaissement",E347,-E347))</f>
      </c>
    </row>
    <row r="348" spans="1:8" x14ac:dyDescent="0.25">
      <c r="A348" s="20"/>
      <c r="B348" s="21"/>
      <c r="C348" s="21"/>
      <c r="D348" s="21"/>
      <c r="E348" s="22"/>
      <c r="F348" s="21"/>
      <c r="G348" s="21"/>
      <c r="H348" s="19">
        <f>IF(B348="","",IF(B348="Encaissement",E348,-E348))</f>
      </c>
    </row>
    <row r="349" spans="1:8" x14ac:dyDescent="0.25">
      <c r="A349" s="20"/>
      <c r="B349" s="21"/>
      <c r="C349" s="21"/>
      <c r="D349" s="21"/>
      <c r="E349" s="22"/>
      <c r="F349" s="21"/>
      <c r="G349" s="21"/>
      <c r="H349" s="19">
        <f>IF(B349="","",IF(B349="Encaissement",E349,-E349))</f>
      </c>
    </row>
    <row r="350" spans="1:8" x14ac:dyDescent="0.25">
      <c r="A350" s="20"/>
      <c r="B350" s="21"/>
      <c r="C350" s="21"/>
      <c r="D350" s="21"/>
      <c r="E350" s="22"/>
      <c r="F350" s="21"/>
      <c r="G350" s="21"/>
      <c r="H350" s="19">
        <f>IF(B350="","",IF(B350="Encaissement",E350,-E350))</f>
      </c>
    </row>
    <row r="351" spans="1:8" x14ac:dyDescent="0.25">
      <c r="A351" s="20"/>
      <c r="B351" s="21"/>
      <c r="C351" s="21"/>
      <c r="D351" s="21"/>
      <c r="E351" s="22"/>
      <c r="F351" s="21"/>
      <c r="G351" s="21"/>
      <c r="H351" s="19">
        <f>IF(B351="","",IF(B351="Encaissement",E351,-E351))</f>
      </c>
    </row>
    <row r="352" spans="1:8" x14ac:dyDescent="0.25">
      <c r="A352" s="20"/>
      <c r="B352" s="21"/>
      <c r="C352" s="21"/>
      <c r="D352" s="21"/>
      <c r="E352" s="22"/>
      <c r="F352" s="21"/>
      <c r="G352" s="21"/>
      <c r="H352" s="19">
        <f>IF(B352="","",IF(B352="Encaissement",E352,-E352))</f>
      </c>
    </row>
    <row r="353" spans="1:8" x14ac:dyDescent="0.25">
      <c r="A353" s="20"/>
      <c r="B353" s="21"/>
      <c r="C353" s="21"/>
      <c r="D353" s="21"/>
      <c r="E353" s="22"/>
      <c r="F353" s="21"/>
      <c r="G353" s="21"/>
      <c r="H353" s="19">
        <f>IF(B353="","",IF(B353="Encaissement",E353,-E353))</f>
      </c>
    </row>
    <row r="354" spans="1:8" x14ac:dyDescent="0.25">
      <c r="A354" s="20"/>
      <c r="B354" s="21"/>
      <c r="C354" s="21"/>
      <c r="D354" s="21"/>
      <c r="E354" s="22"/>
      <c r="F354" s="21"/>
      <c r="G354" s="21"/>
      <c r="H354" s="19">
        <f>IF(B354="","",IF(B354="Encaissement",E354,-E354))</f>
      </c>
    </row>
    <row r="355" spans="1:8" x14ac:dyDescent="0.25">
      <c r="A355" s="20"/>
      <c r="B355" s="21"/>
      <c r="C355" s="21"/>
      <c r="D355" s="21"/>
      <c r="E355" s="22"/>
      <c r="F355" s="21"/>
      <c r="G355" s="21"/>
      <c r="H355" s="19">
        <f>IF(B355="","",IF(B355="Encaissement",E355,-E355))</f>
      </c>
    </row>
    <row r="356" spans="1:8" x14ac:dyDescent="0.25">
      <c r="A356" s="20"/>
      <c r="B356" s="21"/>
      <c r="C356" s="21"/>
      <c r="D356" s="21"/>
      <c r="E356" s="22"/>
      <c r="F356" s="21"/>
      <c r="G356" s="21"/>
      <c r="H356" s="19">
        <f>IF(B356="","",IF(B356="Encaissement",E356,-E356))</f>
      </c>
    </row>
    <row r="357" spans="1:8" x14ac:dyDescent="0.25">
      <c r="A357" s="20"/>
      <c r="B357" s="21"/>
      <c r="C357" s="21"/>
      <c r="D357" s="21"/>
      <c r="E357" s="22"/>
      <c r="F357" s="21"/>
      <c r="G357" s="21"/>
      <c r="H357" s="19">
        <f>IF(B357="","",IF(B357="Encaissement",E357,-E357))</f>
      </c>
    </row>
    <row r="358" spans="1:8" x14ac:dyDescent="0.25">
      <c r="A358" s="20"/>
      <c r="B358" s="21"/>
      <c r="C358" s="21"/>
      <c r="D358" s="21"/>
      <c r="E358" s="22"/>
      <c r="F358" s="21"/>
      <c r="G358" s="21"/>
      <c r="H358" s="19">
        <f>IF(B358="","",IF(B358="Encaissement",E358,-E358))</f>
      </c>
    </row>
    <row r="359" spans="1:8" x14ac:dyDescent="0.25">
      <c r="A359" s="20"/>
      <c r="B359" s="21"/>
      <c r="C359" s="21"/>
      <c r="D359" s="21"/>
      <c r="E359" s="22"/>
      <c r="F359" s="21"/>
      <c r="G359" s="21"/>
      <c r="H359" s="19">
        <f>IF(B359="","",IF(B359="Encaissement",E359,-E359))</f>
      </c>
    </row>
    <row r="360" spans="1:8" x14ac:dyDescent="0.25">
      <c r="A360" s="20"/>
      <c r="B360" s="21"/>
      <c r="C360" s="21"/>
      <c r="D360" s="21"/>
      <c r="E360" s="22"/>
      <c r="F360" s="21"/>
      <c r="G360" s="21"/>
      <c r="H360" s="19">
        <f>IF(B360="","",IF(B360="Encaissement",E360,-E360))</f>
      </c>
    </row>
    <row r="361" spans="1:8" x14ac:dyDescent="0.25">
      <c r="A361" s="20"/>
      <c r="B361" s="21"/>
      <c r="C361" s="21"/>
      <c r="D361" s="21"/>
      <c r="E361" s="22"/>
      <c r="F361" s="21"/>
      <c r="G361" s="21"/>
      <c r="H361" s="19">
        <f>IF(B361="","",IF(B361="Encaissement",E361,-E361))</f>
      </c>
    </row>
    <row r="362" spans="1:8" x14ac:dyDescent="0.25">
      <c r="A362" s="20"/>
      <c r="B362" s="21"/>
      <c r="C362" s="21"/>
      <c r="D362" s="21"/>
      <c r="E362" s="22"/>
      <c r="F362" s="21"/>
      <c r="G362" s="21"/>
      <c r="H362" s="19">
        <f>IF(B362="","",IF(B362="Encaissement",E362,-E362))</f>
      </c>
    </row>
    <row r="363" spans="1:8" x14ac:dyDescent="0.25">
      <c r="A363" s="20"/>
      <c r="B363" s="21"/>
      <c r="C363" s="21"/>
      <c r="D363" s="21"/>
      <c r="E363" s="22"/>
      <c r="F363" s="21"/>
      <c r="G363" s="21"/>
      <c r="H363" s="19">
        <f>IF(B363="","",IF(B363="Encaissement",E363,-E363))</f>
      </c>
    </row>
    <row r="364" spans="1:8" x14ac:dyDescent="0.25">
      <c r="A364" s="20"/>
      <c r="B364" s="21"/>
      <c r="C364" s="21"/>
      <c r="D364" s="21"/>
      <c r="E364" s="22"/>
      <c r="F364" s="21"/>
      <c r="G364" s="21"/>
      <c r="H364" s="19">
        <f>IF(B364="","",IF(B364="Encaissement",E364,-E364))</f>
      </c>
    </row>
    <row r="365" spans="1:8" x14ac:dyDescent="0.25">
      <c r="A365" s="20"/>
      <c r="B365" s="21"/>
      <c r="C365" s="21"/>
      <c r="D365" s="21"/>
      <c r="E365" s="22"/>
      <c r="F365" s="21"/>
      <c r="G365" s="21"/>
      <c r="H365" s="19">
        <f>IF(B365="","",IF(B365="Encaissement",E365,-E365))</f>
      </c>
    </row>
    <row r="366" spans="1:8" x14ac:dyDescent="0.25">
      <c r="A366" s="20"/>
      <c r="B366" s="21"/>
      <c r="C366" s="21"/>
      <c r="D366" s="21"/>
      <c r="E366" s="22"/>
      <c r="F366" s="21"/>
      <c r="G366" s="21"/>
      <c r="H366" s="19">
        <f>IF(B366="","",IF(B366="Encaissement",E366,-E366))</f>
      </c>
    </row>
    <row r="367" spans="1:8" x14ac:dyDescent="0.25">
      <c r="A367" s="20"/>
      <c r="B367" s="21"/>
      <c r="C367" s="21"/>
      <c r="D367" s="21"/>
      <c r="E367" s="22"/>
      <c r="F367" s="21"/>
      <c r="G367" s="21"/>
      <c r="H367" s="19">
        <f>IF(B367="","",IF(B367="Encaissement",E367,-E367))</f>
      </c>
    </row>
    <row r="368" spans="1:8" x14ac:dyDescent="0.25">
      <c r="A368" s="20"/>
      <c r="B368" s="21"/>
      <c r="C368" s="21"/>
      <c r="D368" s="21"/>
      <c r="E368" s="22"/>
      <c r="F368" s="21"/>
      <c r="G368" s="21"/>
      <c r="H368" s="19">
        <f>IF(B368="","",IF(B368="Encaissement",E368,-E368))</f>
      </c>
    </row>
    <row r="369" spans="1:8" x14ac:dyDescent="0.25">
      <c r="A369" s="20"/>
      <c r="B369" s="21"/>
      <c r="C369" s="21"/>
      <c r="D369" s="21"/>
      <c r="E369" s="22"/>
      <c r="F369" s="21"/>
      <c r="G369" s="21"/>
      <c r="H369" s="19">
        <f>IF(B369="","",IF(B369="Encaissement",E369,-E369))</f>
      </c>
    </row>
    <row r="370" spans="1:8" x14ac:dyDescent="0.25">
      <c r="A370" s="20"/>
      <c r="B370" s="21"/>
      <c r="C370" s="21"/>
      <c r="D370" s="21"/>
      <c r="E370" s="22"/>
      <c r="F370" s="21"/>
      <c r="G370" s="21"/>
      <c r="H370" s="19">
        <f>IF(B370="","",IF(B370="Encaissement",E370,-E370))</f>
      </c>
    </row>
    <row r="371" spans="1:8" x14ac:dyDescent="0.25">
      <c r="A371" s="20"/>
      <c r="B371" s="21"/>
      <c r="C371" s="21"/>
      <c r="D371" s="21"/>
      <c r="E371" s="22"/>
      <c r="F371" s="21"/>
      <c r="G371" s="21"/>
      <c r="H371" s="19">
        <f>IF(B371="","",IF(B371="Encaissement",E371,-E371))</f>
      </c>
    </row>
    <row r="372" spans="1:8" x14ac:dyDescent="0.25">
      <c r="A372" s="20"/>
      <c r="B372" s="21"/>
      <c r="C372" s="21"/>
      <c r="D372" s="21"/>
      <c r="E372" s="22"/>
      <c r="F372" s="21"/>
      <c r="G372" s="21"/>
      <c r="H372" s="19">
        <f>IF(B372="","",IF(B372="Encaissement",E372,-E372))</f>
      </c>
    </row>
    <row r="373" spans="1:8" x14ac:dyDescent="0.25">
      <c r="A373" s="20"/>
      <c r="B373" s="21"/>
      <c r="C373" s="21"/>
      <c r="D373" s="21"/>
      <c r="E373" s="22"/>
      <c r="F373" s="21"/>
      <c r="G373" s="21"/>
      <c r="H373" s="19">
        <f>IF(B373="","",IF(B373="Encaissement",E373,-E373))</f>
      </c>
    </row>
    <row r="374" spans="1:8" x14ac:dyDescent="0.25">
      <c r="A374" s="20"/>
      <c r="B374" s="21"/>
      <c r="C374" s="21"/>
      <c r="D374" s="21"/>
      <c r="E374" s="22"/>
      <c r="F374" s="21"/>
      <c r="G374" s="21"/>
      <c r="H374" s="19">
        <f>IF(B374="","",IF(B374="Encaissement",E374,-E374))</f>
      </c>
    </row>
    <row r="375" spans="1:8" x14ac:dyDescent="0.25">
      <c r="A375" s="20"/>
      <c r="B375" s="21"/>
      <c r="C375" s="21"/>
      <c r="D375" s="21"/>
      <c r="E375" s="22"/>
      <c r="F375" s="21"/>
      <c r="G375" s="21"/>
      <c r="H375" s="19">
        <f>IF(B375="","",IF(B375="Encaissement",E375,-E375))</f>
      </c>
    </row>
    <row r="376" spans="1:8" x14ac:dyDescent="0.25">
      <c r="A376" s="20"/>
      <c r="B376" s="21"/>
      <c r="C376" s="21"/>
      <c r="D376" s="21"/>
      <c r="E376" s="22"/>
      <c r="F376" s="21"/>
      <c r="G376" s="21"/>
      <c r="H376" s="19">
        <f>IF(B376="","",IF(B376="Encaissement",E376,-E376))</f>
      </c>
    </row>
    <row r="377" spans="1:8" x14ac:dyDescent="0.25">
      <c r="A377" s="20"/>
      <c r="B377" s="21"/>
      <c r="C377" s="21"/>
      <c r="D377" s="21"/>
      <c r="E377" s="22"/>
      <c r="F377" s="21"/>
      <c r="G377" s="21"/>
      <c r="H377" s="19">
        <f>IF(B377="","",IF(B377="Encaissement",E377,-E377))</f>
      </c>
    </row>
    <row r="378" spans="1:8" x14ac:dyDescent="0.25">
      <c r="A378" s="20"/>
      <c r="B378" s="21"/>
      <c r="C378" s="21"/>
      <c r="D378" s="21"/>
      <c r="E378" s="22"/>
      <c r="F378" s="21"/>
      <c r="G378" s="21"/>
      <c r="H378" s="19">
        <f>IF(B378="","",IF(B378="Encaissement",E378,-E378))</f>
      </c>
    </row>
    <row r="379" spans="1:8" x14ac:dyDescent="0.25">
      <c r="A379" s="20"/>
      <c r="B379" s="21"/>
      <c r="C379" s="21"/>
      <c r="D379" s="21"/>
      <c r="E379" s="22"/>
      <c r="F379" s="21"/>
      <c r="G379" s="21"/>
      <c r="H379" s="19">
        <f>IF(B379="","",IF(B379="Encaissement",E379,-E379))</f>
      </c>
    </row>
    <row r="380" spans="1:8" x14ac:dyDescent="0.25">
      <c r="A380" s="20"/>
      <c r="B380" s="21"/>
      <c r="C380" s="21"/>
      <c r="D380" s="21"/>
      <c r="E380" s="22"/>
      <c r="F380" s="21"/>
      <c r="G380" s="21"/>
      <c r="H380" s="19">
        <f>IF(B380="","",IF(B380="Encaissement",E380,-E380))</f>
      </c>
    </row>
    <row r="381" spans="1:8" x14ac:dyDescent="0.25">
      <c r="A381" s="20"/>
      <c r="B381" s="21"/>
      <c r="C381" s="21"/>
      <c r="D381" s="21"/>
      <c r="E381" s="22"/>
      <c r="F381" s="21"/>
      <c r="G381" s="21"/>
      <c r="H381" s="19">
        <f>IF(B381="","",IF(B381="Encaissement",E381,-E381))</f>
      </c>
    </row>
    <row r="382" spans="1:8" x14ac:dyDescent="0.25">
      <c r="A382" s="20"/>
      <c r="B382" s="21"/>
      <c r="C382" s="21"/>
      <c r="D382" s="21"/>
      <c r="E382" s="22"/>
      <c r="F382" s="21"/>
      <c r="G382" s="21"/>
      <c r="H382" s="19">
        <f>IF(B382="","",IF(B382="Encaissement",E382,-E382))</f>
      </c>
    </row>
    <row r="383" spans="1:8" x14ac:dyDescent="0.25">
      <c r="A383" s="20"/>
      <c r="B383" s="21"/>
      <c r="C383" s="21"/>
      <c r="D383" s="21"/>
      <c r="E383" s="22"/>
      <c r="F383" s="21"/>
      <c r="G383" s="21"/>
      <c r="H383" s="19">
        <f>IF(B383="","",IF(B383="Encaissement",E383,-E383))</f>
      </c>
    </row>
    <row r="384" spans="1:8" x14ac:dyDescent="0.25">
      <c r="A384" s="20"/>
      <c r="B384" s="21"/>
      <c r="C384" s="21"/>
      <c r="D384" s="21"/>
      <c r="E384" s="22"/>
      <c r="F384" s="21"/>
      <c r="G384" s="21"/>
      <c r="H384" s="19">
        <f>IF(B384="","",IF(B384="Encaissement",E384,-E384))</f>
      </c>
    </row>
    <row r="385" spans="1:8" x14ac:dyDescent="0.25">
      <c r="A385" s="20"/>
      <c r="B385" s="21"/>
      <c r="C385" s="21"/>
      <c r="D385" s="21"/>
      <c r="E385" s="22"/>
      <c r="F385" s="21"/>
      <c r="G385" s="21"/>
      <c r="H385" s="19">
        <f>IF(B385="","",IF(B385="Encaissement",E385,-E385))</f>
      </c>
    </row>
    <row r="386" spans="1:8" x14ac:dyDescent="0.25">
      <c r="A386" s="20"/>
      <c r="B386" s="21"/>
      <c r="C386" s="21"/>
      <c r="D386" s="21"/>
      <c r="E386" s="22"/>
      <c r="F386" s="21"/>
      <c r="G386" s="21"/>
      <c r="H386" s="19">
        <f>IF(B386="","",IF(B386="Encaissement",E386,-E386))</f>
      </c>
    </row>
    <row r="387" spans="1:8" x14ac:dyDescent="0.25">
      <c r="A387" s="20"/>
      <c r="B387" s="21"/>
      <c r="C387" s="21"/>
      <c r="D387" s="21"/>
      <c r="E387" s="22"/>
      <c r="F387" s="21"/>
      <c r="G387" s="21"/>
      <c r="H387" s="19">
        <f>IF(B387="","",IF(B387="Encaissement",E387,-E387))</f>
      </c>
    </row>
    <row r="388" spans="1:8" x14ac:dyDescent="0.25">
      <c r="A388" s="20"/>
      <c r="B388" s="21"/>
      <c r="C388" s="21"/>
      <c r="D388" s="21"/>
      <c r="E388" s="22"/>
      <c r="F388" s="21"/>
      <c r="G388" s="21"/>
      <c r="H388" s="19">
        <f>IF(B388="","",IF(B388="Encaissement",E388,-E388))</f>
      </c>
    </row>
    <row r="389" spans="1:8" x14ac:dyDescent="0.25">
      <c r="A389" s="20"/>
      <c r="B389" s="21"/>
      <c r="C389" s="21"/>
      <c r="D389" s="21"/>
      <c r="E389" s="22"/>
      <c r="F389" s="21"/>
      <c r="G389" s="21"/>
      <c r="H389" s="19">
        <f>IF(B389="","",IF(B389="Encaissement",E389,-E389))</f>
      </c>
    </row>
    <row r="390" spans="1:8" x14ac:dyDescent="0.25">
      <c r="A390" s="20"/>
      <c r="B390" s="21"/>
      <c r="C390" s="21"/>
      <c r="D390" s="21"/>
      <c r="E390" s="22"/>
      <c r="F390" s="21"/>
      <c r="G390" s="21"/>
      <c r="H390" s="19">
        <f>IF(B390="","",IF(B390="Encaissement",E390,-E390))</f>
      </c>
    </row>
    <row r="391" spans="1:8" x14ac:dyDescent="0.25">
      <c r="A391" s="20"/>
      <c r="B391" s="21"/>
      <c r="C391" s="21"/>
      <c r="D391" s="21"/>
      <c r="E391" s="22"/>
      <c r="F391" s="21"/>
      <c r="G391" s="21"/>
      <c r="H391" s="19">
        <f>IF(B391="","",IF(B391="Encaissement",E391,-E391))</f>
      </c>
    </row>
    <row r="392" spans="1:8" x14ac:dyDescent="0.25">
      <c r="A392" s="20"/>
      <c r="B392" s="21"/>
      <c r="C392" s="21"/>
      <c r="D392" s="21"/>
      <c r="E392" s="22"/>
      <c r="F392" s="21"/>
      <c r="G392" s="21"/>
      <c r="H392" s="19">
        <f>IF(B392="","",IF(B392="Encaissement",E392,-E392))</f>
      </c>
    </row>
    <row r="393" spans="1:8" x14ac:dyDescent="0.25">
      <c r="A393" s="20"/>
      <c r="B393" s="21"/>
      <c r="C393" s="21"/>
      <c r="D393" s="21"/>
      <c r="E393" s="22"/>
      <c r="F393" s="21"/>
      <c r="G393" s="21"/>
      <c r="H393" s="19">
        <f>IF(B393="","",IF(B393="Encaissement",E393,-E393))</f>
      </c>
    </row>
    <row r="394" spans="1:8" x14ac:dyDescent="0.25">
      <c r="A394" s="20"/>
      <c r="B394" s="21"/>
      <c r="C394" s="21"/>
      <c r="D394" s="21"/>
      <c r="E394" s="22"/>
      <c r="F394" s="21"/>
      <c r="G394" s="21"/>
      <c r="H394" s="19">
        <f>IF(B394="","",IF(B394="Encaissement",E394,-E394))</f>
      </c>
    </row>
    <row r="395" spans="1:8" x14ac:dyDescent="0.25">
      <c r="A395" s="20"/>
      <c r="B395" s="21"/>
      <c r="C395" s="21"/>
      <c r="D395" s="21"/>
      <c r="E395" s="22"/>
      <c r="F395" s="21"/>
      <c r="G395" s="21"/>
      <c r="H395" s="19">
        <f>IF(B395="","",IF(B395="Encaissement",E395,-E395))</f>
      </c>
    </row>
    <row r="396" spans="1:8" x14ac:dyDescent="0.25">
      <c r="A396" s="20"/>
      <c r="B396" s="21"/>
      <c r="C396" s="21"/>
      <c r="D396" s="21"/>
      <c r="E396" s="22"/>
      <c r="F396" s="21"/>
      <c r="G396" s="21"/>
      <c r="H396" s="19">
        <f>IF(B396="","",IF(B396="Encaissement",E396,-E396))</f>
      </c>
    </row>
    <row r="397" spans="1:8" x14ac:dyDescent="0.25">
      <c r="A397" s="20"/>
      <c r="B397" s="21"/>
      <c r="C397" s="21"/>
      <c r="D397" s="21"/>
      <c r="E397" s="22"/>
      <c r="F397" s="21"/>
      <c r="G397" s="21"/>
      <c r="H397" s="19">
        <f>IF(B397="","",IF(B397="Encaissement",E397,-E397))</f>
      </c>
    </row>
    <row r="398" spans="1:8" x14ac:dyDescent="0.25">
      <c r="A398" s="20"/>
      <c r="B398" s="21"/>
      <c r="C398" s="21"/>
      <c r="D398" s="21"/>
      <c r="E398" s="22"/>
      <c r="F398" s="21"/>
      <c r="G398" s="21"/>
      <c r="H398" s="19">
        <f>IF(B398="","",IF(B398="Encaissement",E398,-E398))</f>
      </c>
    </row>
    <row r="399" spans="1:8" x14ac:dyDescent="0.25">
      <c r="A399" s="20"/>
      <c r="B399" s="21"/>
      <c r="C399" s="21"/>
      <c r="D399" s="21"/>
      <c r="E399" s="22"/>
      <c r="F399" s="21"/>
      <c r="G399" s="21"/>
      <c r="H399" s="19">
        <f>IF(B399="","",IF(B399="Encaissement",E399,-E399))</f>
      </c>
    </row>
    <row r="400" spans="1:8" x14ac:dyDescent="0.25">
      <c r="A400" s="20"/>
      <c r="B400" s="21"/>
      <c r="C400" s="21"/>
      <c r="D400" s="21"/>
      <c r="E400" s="22"/>
      <c r="F400" s="21"/>
      <c r="G400" s="21"/>
      <c r="H400" s="19">
        <f>IF(B400="","",IF(B400="Encaissement",E400,-E400))</f>
      </c>
    </row>
    <row r="401" spans="1:8" x14ac:dyDescent="0.25">
      <c r="A401" s="20"/>
      <c r="B401" s="21"/>
      <c r="C401" s="21"/>
      <c r="D401" s="21"/>
      <c r="E401" s="22"/>
      <c r="F401" s="21"/>
      <c r="G401" s="21"/>
      <c r="H401" s="19">
        <f>IF(B401="","",IF(B401="Encaissement",E401,-E401))</f>
      </c>
    </row>
    <row r="402" spans="1:8" x14ac:dyDescent="0.25">
      <c r="A402" s="20"/>
      <c r="B402" s="21"/>
      <c r="C402" s="21"/>
      <c r="D402" s="21"/>
      <c r="E402" s="22"/>
      <c r="F402" s="21"/>
      <c r="G402" s="21"/>
      <c r="H402" s="19">
        <f>IF(B402="","",IF(B402="Encaissement",E402,-E402))</f>
      </c>
    </row>
    <row r="403" spans="1:8" x14ac:dyDescent="0.25">
      <c r="A403" s="20"/>
      <c r="B403" s="21"/>
      <c r="C403" s="21"/>
      <c r="D403" s="21"/>
      <c r="E403" s="22"/>
      <c r="F403" s="21"/>
      <c r="G403" s="21"/>
      <c r="H403" s="19">
        <f>IF(B403="","",IF(B403="Encaissement",E403,-E403))</f>
      </c>
    </row>
    <row r="404" spans="1:8" x14ac:dyDescent="0.25">
      <c r="A404" s="20"/>
      <c r="B404" s="21"/>
      <c r="C404" s="21"/>
      <c r="D404" s="21"/>
      <c r="E404" s="22"/>
      <c r="F404" s="21"/>
      <c r="G404" s="21"/>
      <c r="H404" s="19">
        <f>IF(B404="","",IF(B404="Encaissement",E404,-E404))</f>
      </c>
    </row>
    <row r="405" spans="1:8" x14ac:dyDescent="0.25">
      <c r="A405" s="20"/>
      <c r="B405" s="21"/>
      <c r="C405" s="21"/>
      <c r="D405" s="21"/>
      <c r="E405" s="22"/>
      <c r="F405" s="21"/>
      <c r="G405" s="21"/>
      <c r="H405" s="19">
        <f>IF(B405="","",IF(B405="Encaissement",E405,-E405))</f>
      </c>
    </row>
    <row r="406" spans="1:8" x14ac:dyDescent="0.25">
      <c r="A406" s="20"/>
      <c r="B406" s="21"/>
      <c r="C406" s="21"/>
      <c r="D406" s="21"/>
      <c r="E406" s="22"/>
      <c r="F406" s="21"/>
      <c r="G406" s="21"/>
      <c r="H406" s="19">
        <f>IF(B406="","",IF(B406="Encaissement",E406,-E406))</f>
      </c>
    </row>
    <row r="407" spans="1:8" x14ac:dyDescent="0.25">
      <c r="A407" s="20"/>
      <c r="B407" s="21"/>
      <c r="C407" s="21"/>
      <c r="D407" s="21"/>
      <c r="E407" s="22"/>
      <c r="F407" s="21"/>
      <c r="G407" s="21"/>
      <c r="H407" s="19">
        <f>IF(B407="","",IF(B407="Encaissement",E407,-E407))</f>
      </c>
    </row>
    <row r="408" spans="1:8" x14ac:dyDescent="0.25">
      <c r="A408" s="20"/>
      <c r="B408" s="21"/>
      <c r="C408" s="21"/>
      <c r="D408" s="21"/>
      <c r="E408" s="22"/>
      <c r="F408" s="21"/>
      <c r="G408" s="21"/>
      <c r="H408" s="19">
        <f>IF(B408="","",IF(B408="Encaissement",E408,-E408))</f>
      </c>
    </row>
    <row r="409" spans="1:8" x14ac:dyDescent="0.25">
      <c r="A409" s="20"/>
      <c r="B409" s="21"/>
      <c r="C409" s="21"/>
      <c r="D409" s="21"/>
      <c r="E409" s="22"/>
      <c r="F409" s="21"/>
      <c r="G409" s="21"/>
      <c r="H409" s="19">
        <f>IF(B409="","",IF(B409="Encaissement",E409,-E409))</f>
      </c>
    </row>
    <row r="410" spans="1:8" x14ac:dyDescent="0.25">
      <c r="A410" s="20"/>
      <c r="B410" s="21"/>
      <c r="C410" s="21"/>
      <c r="D410" s="21"/>
      <c r="E410" s="22"/>
      <c r="F410" s="21"/>
      <c r="G410" s="21"/>
      <c r="H410" s="19">
        <f>IF(B410="","",IF(B410="Encaissement",E410,-E410))</f>
      </c>
    </row>
    <row r="411" spans="1:8" x14ac:dyDescent="0.25">
      <c r="A411" s="20"/>
      <c r="B411" s="21"/>
      <c r="C411" s="21"/>
      <c r="D411" s="21"/>
      <c r="E411" s="22"/>
      <c r="F411" s="21"/>
      <c r="G411" s="21"/>
      <c r="H411" s="19">
        <f>IF(B411="","",IF(B411="Encaissement",E411,-E411))</f>
      </c>
    </row>
    <row r="412" spans="1:8" x14ac:dyDescent="0.25">
      <c r="A412" s="20"/>
      <c r="B412" s="21"/>
      <c r="C412" s="21"/>
      <c r="D412" s="21"/>
      <c r="E412" s="22"/>
      <c r="F412" s="21"/>
      <c r="G412" s="21"/>
      <c r="H412" s="19">
        <f>IF(B412="","",IF(B412="Encaissement",E412,-E412))</f>
      </c>
    </row>
    <row r="413" spans="1:8" x14ac:dyDescent="0.25">
      <c r="A413" s="20"/>
      <c r="B413" s="21"/>
      <c r="C413" s="21"/>
      <c r="D413" s="21"/>
      <c r="E413" s="22"/>
      <c r="F413" s="21"/>
      <c r="G413" s="21"/>
      <c r="H413" s="19">
        <f>IF(B413="","",IF(B413="Encaissement",E413,-E413))</f>
      </c>
    </row>
    <row r="414" spans="1:8" x14ac:dyDescent="0.25">
      <c r="A414" s="20"/>
      <c r="B414" s="21"/>
      <c r="C414" s="21"/>
      <c r="D414" s="21"/>
      <c r="E414" s="22"/>
      <c r="F414" s="21"/>
      <c r="G414" s="21"/>
      <c r="H414" s="19">
        <f>IF(B414="","",IF(B414="Encaissement",E414,-E414))</f>
      </c>
    </row>
    <row r="415" spans="1:8" x14ac:dyDescent="0.25">
      <c r="A415" s="20"/>
      <c r="B415" s="21"/>
      <c r="C415" s="21"/>
      <c r="D415" s="21"/>
      <c r="E415" s="22"/>
      <c r="F415" s="21"/>
      <c r="G415" s="21"/>
      <c r="H415" s="19">
        <f>IF(B415="","",IF(B415="Encaissement",E415,-E415))</f>
      </c>
    </row>
    <row r="416" spans="1:8" x14ac:dyDescent="0.25">
      <c r="A416" s="20"/>
      <c r="B416" s="21"/>
      <c r="C416" s="21"/>
      <c r="D416" s="21"/>
      <c r="E416" s="22"/>
      <c r="F416" s="21"/>
      <c r="G416" s="21"/>
      <c r="H416" s="19">
        <f>IF(B416="","",IF(B416="Encaissement",E416,-E416))</f>
      </c>
    </row>
    <row r="417" spans="1:8" x14ac:dyDescent="0.25">
      <c r="A417" s="20"/>
      <c r="B417" s="21"/>
      <c r="C417" s="21"/>
      <c r="D417" s="21"/>
      <c r="E417" s="22"/>
      <c r="F417" s="21"/>
      <c r="G417" s="21"/>
      <c r="H417" s="19">
        <f>IF(B417="","",IF(B417="Encaissement",E417,-E417))</f>
      </c>
    </row>
    <row r="418" spans="1:8" x14ac:dyDescent="0.25">
      <c r="A418" s="20"/>
      <c r="B418" s="21"/>
      <c r="C418" s="21"/>
      <c r="D418" s="21"/>
      <c r="E418" s="22"/>
      <c r="F418" s="21"/>
      <c r="G418" s="21"/>
      <c r="H418" s="19">
        <f>IF(B418="","",IF(B418="Encaissement",E418,-E418))</f>
      </c>
    </row>
    <row r="419" spans="1:8" x14ac:dyDescent="0.25">
      <c r="A419" s="20"/>
      <c r="B419" s="21"/>
      <c r="C419" s="21"/>
      <c r="D419" s="21"/>
      <c r="E419" s="22"/>
      <c r="F419" s="21"/>
      <c r="G419" s="21"/>
      <c r="H419" s="19">
        <f>IF(B419="","",IF(B419="Encaissement",E419,-E419))</f>
      </c>
    </row>
    <row r="420" spans="1:8" x14ac:dyDescent="0.25">
      <c r="A420" s="20"/>
      <c r="B420" s="21"/>
      <c r="C420" s="21"/>
      <c r="D420" s="21"/>
      <c r="E420" s="22"/>
      <c r="F420" s="21"/>
      <c r="G420" s="21"/>
      <c r="H420" s="19">
        <f>IF(B420="","",IF(B420="Encaissement",E420,-E420))</f>
      </c>
    </row>
    <row r="421" spans="1:8" x14ac:dyDescent="0.25">
      <c r="A421" s="20"/>
      <c r="B421" s="21"/>
      <c r="C421" s="21"/>
      <c r="D421" s="21"/>
      <c r="E421" s="22"/>
      <c r="F421" s="21"/>
      <c r="G421" s="21"/>
      <c r="H421" s="19">
        <f>IF(B421="","",IF(B421="Encaissement",E421,-E421))</f>
      </c>
    </row>
    <row r="422" spans="1:8" x14ac:dyDescent="0.25">
      <c r="A422" s="20"/>
      <c r="B422" s="21"/>
      <c r="C422" s="21"/>
      <c r="D422" s="21"/>
      <c r="E422" s="22"/>
      <c r="F422" s="21"/>
      <c r="G422" s="21"/>
      <c r="H422" s="19">
        <f>IF(B422="","",IF(B422="Encaissement",E422,-E422))</f>
      </c>
    </row>
    <row r="423" spans="1:8" x14ac:dyDescent="0.25">
      <c r="A423" s="20"/>
      <c r="B423" s="21"/>
      <c r="C423" s="21"/>
      <c r="D423" s="21"/>
      <c r="E423" s="22"/>
      <c r="F423" s="21"/>
      <c r="G423" s="21"/>
      <c r="H423" s="19">
        <f>IF(B423="","",IF(B423="Encaissement",E423,-E423))</f>
      </c>
    </row>
    <row r="424" spans="1:8" x14ac:dyDescent="0.25">
      <c r="A424" s="20"/>
      <c r="B424" s="21"/>
      <c r="C424" s="21"/>
      <c r="D424" s="21"/>
      <c r="E424" s="22"/>
      <c r="F424" s="21"/>
      <c r="G424" s="21"/>
      <c r="H424" s="19">
        <f>IF(B424="","",IF(B424="Encaissement",E424,-E424))</f>
      </c>
    </row>
    <row r="425" spans="1:8" x14ac:dyDescent="0.25">
      <c r="A425" s="20"/>
      <c r="B425" s="21"/>
      <c r="C425" s="21"/>
      <c r="D425" s="21"/>
      <c r="E425" s="22"/>
      <c r="F425" s="21"/>
      <c r="G425" s="21"/>
      <c r="H425" s="19">
        <f>IF(B425="","",IF(B425="Encaissement",E425,-E425))</f>
      </c>
    </row>
    <row r="426" spans="1:8" x14ac:dyDescent="0.25">
      <c r="A426" s="20"/>
      <c r="B426" s="21"/>
      <c r="C426" s="21"/>
      <c r="D426" s="21"/>
      <c r="E426" s="22"/>
      <c r="F426" s="21"/>
      <c r="G426" s="21"/>
      <c r="H426" s="19">
        <f>IF(B426="","",IF(B426="Encaissement",E426,-E426))</f>
      </c>
    </row>
    <row r="427" spans="1:8" x14ac:dyDescent="0.25">
      <c r="A427" s="20"/>
      <c r="B427" s="21"/>
      <c r="C427" s="21"/>
      <c r="D427" s="21"/>
      <c r="E427" s="22"/>
      <c r="F427" s="21"/>
      <c r="G427" s="21"/>
      <c r="H427" s="19">
        <f>IF(B427="","",IF(B427="Encaissement",E427,-E427))</f>
      </c>
    </row>
    <row r="428" spans="1:8" x14ac:dyDescent="0.25">
      <c r="A428" s="20"/>
      <c r="B428" s="21"/>
      <c r="C428" s="21"/>
      <c r="D428" s="21"/>
      <c r="E428" s="22"/>
      <c r="F428" s="21"/>
      <c r="G428" s="21"/>
      <c r="H428" s="19">
        <f>IF(B428="","",IF(B428="Encaissement",E428,-E428))</f>
      </c>
    </row>
    <row r="429" spans="1:8" x14ac:dyDescent="0.25">
      <c r="A429" s="20"/>
      <c r="B429" s="21"/>
      <c r="C429" s="21"/>
      <c r="D429" s="21"/>
      <c r="E429" s="22"/>
      <c r="F429" s="21"/>
      <c r="G429" s="21"/>
      <c r="H429" s="19">
        <f>IF(B429="","",IF(B429="Encaissement",E429,-E429))</f>
      </c>
    </row>
    <row r="430" spans="1:8" x14ac:dyDescent="0.25">
      <c r="A430" s="20"/>
      <c r="B430" s="21"/>
      <c r="C430" s="21"/>
      <c r="D430" s="21"/>
      <c r="E430" s="22"/>
      <c r="F430" s="21"/>
      <c r="G430" s="21"/>
      <c r="H430" s="19">
        <f>IF(B430="","",IF(B430="Encaissement",E430,-E430))</f>
      </c>
    </row>
    <row r="431" spans="1:8" x14ac:dyDescent="0.25">
      <c r="A431" s="20"/>
      <c r="B431" s="21"/>
      <c r="C431" s="21"/>
      <c r="D431" s="21"/>
      <c r="E431" s="22"/>
      <c r="F431" s="21"/>
      <c r="G431" s="21"/>
      <c r="H431" s="19">
        <f>IF(B431="","",IF(B431="Encaissement",E431,-E431))</f>
      </c>
    </row>
    <row r="432" spans="1:8" x14ac:dyDescent="0.25">
      <c r="A432" s="20"/>
      <c r="B432" s="21"/>
      <c r="C432" s="21"/>
      <c r="D432" s="21"/>
      <c r="E432" s="22"/>
      <c r="F432" s="21"/>
      <c r="G432" s="21"/>
      <c r="H432" s="19">
        <f>IF(B432="","",IF(B432="Encaissement",E432,-E432))</f>
      </c>
    </row>
    <row r="433" spans="1:8" x14ac:dyDescent="0.25">
      <c r="A433" s="20"/>
      <c r="B433" s="21"/>
      <c r="C433" s="21"/>
      <c r="D433" s="21"/>
      <c r="E433" s="22"/>
      <c r="F433" s="21"/>
      <c r="G433" s="21"/>
      <c r="H433" s="19">
        <f>IF(B433="","",IF(B433="Encaissement",E433,-E433))</f>
      </c>
    </row>
    <row r="434" spans="1:8" x14ac:dyDescent="0.25">
      <c r="A434" s="20"/>
      <c r="B434" s="21"/>
      <c r="C434" s="21"/>
      <c r="D434" s="21"/>
      <c r="E434" s="22"/>
      <c r="F434" s="21"/>
      <c r="G434" s="21"/>
      <c r="H434" s="19">
        <f>IF(B434="","",IF(B434="Encaissement",E434,-E434))</f>
      </c>
    </row>
    <row r="435" spans="1:8" x14ac:dyDescent="0.25">
      <c r="A435" s="20"/>
      <c r="B435" s="21"/>
      <c r="C435" s="21"/>
      <c r="D435" s="21"/>
      <c r="E435" s="22"/>
      <c r="F435" s="21"/>
      <c r="G435" s="21"/>
      <c r="H435" s="19">
        <f>IF(B435="","",IF(B435="Encaissement",E435,-E435))</f>
      </c>
    </row>
    <row r="436" spans="1:8" x14ac:dyDescent="0.25">
      <c r="A436" s="20"/>
      <c r="B436" s="21"/>
      <c r="C436" s="21"/>
      <c r="D436" s="21"/>
      <c r="E436" s="22"/>
      <c r="F436" s="21"/>
      <c r="G436" s="21"/>
      <c r="H436" s="19">
        <f>IF(B436="","",IF(B436="Encaissement",E436,-E436))</f>
      </c>
    </row>
    <row r="437" spans="1:8" x14ac:dyDescent="0.25">
      <c r="A437" s="20"/>
      <c r="B437" s="21"/>
      <c r="C437" s="21"/>
      <c r="D437" s="21"/>
      <c r="E437" s="22"/>
      <c r="F437" s="21"/>
      <c r="G437" s="21"/>
      <c r="H437" s="19">
        <f>IF(B437="","",IF(B437="Encaissement",E437,-E437))</f>
      </c>
    </row>
    <row r="438" spans="1:8" x14ac:dyDescent="0.25">
      <c r="A438" s="20"/>
      <c r="B438" s="21"/>
      <c r="C438" s="21"/>
      <c r="D438" s="21"/>
      <c r="E438" s="22"/>
      <c r="F438" s="21"/>
      <c r="G438" s="21"/>
      <c r="H438" s="19">
        <f>IF(B438="","",IF(B438="Encaissement",E438,-E438))</f>
      </c>
    </row>
    <row r="439" spans="1:8" x14ac:dyDescent="0.25">
      <c r="A439" s="20"/>
      <c r="B439" s="21"/>
      <c r="C439" s="21"/>
      <c r="D439" s="21"/>
      <c r="E439" s="22"/>
      <c r="F439" s="21"/>
      <c r="G439" s="21"/>
      <c r="H439" s="19">
        <f>IF(B439="","",IF(B439="Encaissement",E439,-E439))</f>
      </c>
    </row>
    <row r="440" spans="1:8" x14ac:dyDescent="0.25">
      <c r="A440" s="20"/>
      <c r="B440" s="21"/>
      <c r="C440" s="21"/>
      <c r="D440" s="21"/>
      <c r="E440" s="22"/>
      <c r="F440" s="21"/>
      <c r="G440" s="21"/>
      <c r="H440" s="19">
        <f>IF(B440="","",IF(B440="Encaissement",E440,-E440))</f>
      </c>
    </row>
    <row r="441" spans="1:8" x14ac:dyDescent="0.25">
      <c r="A441" s="20"/>
      <c r="B441" s="21"/>
      <c r="C441" s="21"/>
      <c r="D441" s="21"/>
      <c r="E441" s="22"/>
      <c r="F441" s="21"/>
      <c r="G441" s="21"/>
      <c r="H441" s="19">
        <f>IF(B441="","",IF(B441="Encaissement",E441,-E441))</f>
      </c>
    </row>
    <row r="442" spans="1:8" x14ac:dyDescent="0.25">
      <c r="A442" s="20"/>
      <c r="B442" s="21"/>
      <c r="C442" s="21"/>
      <c r="D442" s="21"/>
      <c r="E442" s="22"/>
      <c r="F442" s="21"/>
      <c r="G442" s="21"/>
      <c r="H442" s="19">
        <f>IF(B442="","",IF(B442="Encaissement",E442,-E442))</f>
      </c>
    </row>
    <row r="443" spans="1:8" x14ac:dyDescent="0.25">
      <c r="A443" s="20"/>
      <c r="B443" s="21"/>
      <c r="C443" s="21"/>
      <c r="D443" s="21"/>
      <c r="E443" s="22"/>
      <c r="F443" s="21"/>
      <c r="G443" s="21"/>
      <c r="H443" s="19">
        <f>IF(B443="","",IF(B443="Encaissement",E443,-E443))</f>
      </c>
    </row>
    <row r="444" spans="1:8" x14ac:dyDescent="0.25">
      <c r="A444" s="20"/>
      <c r="B444" s="21"/>
      <c r="C444" s="21"/>
      <c r="D444" s="21"/>
      <c r="E444" s="22"/>
      <c r="F444" s="21"/>
      <c r="G444" s="21"/>
      <c r="H444" s="19">
        <f>IF(B444="","",IF(B444="Encaissement",E444,-E444))</f>
      </c>
    </row>
    <row r="445" spans="1:8" x14ac:dyDescent="0.25">
      <c r="A445" s="20"/>
      <c r="B445" s="21"/>
      <c r="C445" s="21"/>
      <c r="D445" s="21"/>
      <c r="E445" s="22"/>
      <c r="F445" s="21"/>
      <c r="G445" s="21"/>
      <c r="H445" s="19">
        <f>IF(B445="","",IF(B445="Encaissement",E445,-E445))</f>
      </c>
    </row>
    <row r="446" spans="1:8" x14ac:dyDescent="0.25">
      <c r="A446" s="20"/>
      <c r="B446" s="21"/>
      <c r="C446" s="21"/>
      <c r="D446" s="21"/>
      <c r="E446" s="22"/>
      <c r="F446" s="21"/>
      <c r="G446" s="21"/>
      <c r="H446" s="19">
        <f>IF(B446="","",IF(B446="Encaissement",E446,-E446))</f>
      </c>
    </row>
    <row r="447" spans="1:8" x14ac:dyDescent="0.25">
      <c r="A447" s="20"/>
      <c r="B447" s="21"/>
      <c r="C447" s="21"/>
      <c r="D447" s="21"/>
      <c r="E447" s="22"/>
      <c r="F447" s="21"/>
      <c r="G447" s="21"/>
      <c r="H447" s="19">
        <f>IF(B447="","",IF(B447="Encaissement",E447,-E447))</f>
      </c>
    </row>
    <row r="448" spans="1:8" x14ac:dyDescent="0.25">
      <c r="A448" s="20"/>
      <c r="B448" s="21"/>
      <c r="C448" s="21"/>
      <c r="D448" s="21"/>
      <c r="E448" s="22"/>
      <c r="F448" s="21"/>
      <c r="G448" s="21"/>
      <c r="H448" s="19">
        <f>IF(B448="","",IF(B448="Encaissement",E448,-E448))</f>
      </c>
    </row>
    <row r="449" spans="1:8" x14ac:dyDescent="0.25">
      <c r="A449" s="20"/>
      <c r="B449" s="21"/>
      <c r="C449" s="21"/>
      <c r="D449" s="21"/>
      <c r="E449" s="22"/>
      <c r="F449" s="21"/>
      <c r="G449" s="21"/>
      <c r="H449" s="19">
        <f>IF(B449="","",IF(B449="Encaissement",E449,-E449))</f>
      </c>
    </row>
    <row r="450" spans="1:8" x14ac:dyDescent="0.25">
      <c r="A450" s="20"/>
      <c r="B450" s="21"/>
      <c r="C450" s="21"/>
      <c r="D450" s="21"/>
      <c r="E450" s="22"/>
      <c r="F450" s="21"/>
      <c r="G450" s="21"/>
      <c r="H450" s="19">
        <f>IF(B450="","",IF(B450="Encaissement",E450,-E450))</f>
      </c>
    </row>
    <row r="451" spans="1:8" x14ac:dyDescent="0.25">
      <c r="A451" s="20"/>
      <c r="B451" s="21"/>
      <c r="C451" s="21"/>
      <c r="D451" s="21"/>
      <c r="E451" s="22"/>
      <c r="F451" s="21"/>
      <c r="G451" s="21"/>
      <c r="H451" s="19">
        <f>IF(B451="","",IF(B451="Encaissement",E451,-E451))</f>
      </c>
    </row>
    <row r="452" spans="1:8" x14ac:dyDescent="0.25">
      <c r="A452" s="20"/>
      <c r="B452" s="21"/>
      <c r="C452" s="21"/>
      <c r="D452" s="21"/>
      <c r="E452" s="22"/>
      <c r="F452" s="21"/>
      <c r="G452" s="21"/>
      <c r="H452" s="19">
        <f>IF(B452="","",IF(B452="Encaissement",E452,-E452))</f>
      </c>
    </row>
    <row r="453" spans="1:8" x14ac:dyDescent="0.25">
      <c r="A453" s="20"/>
      <c r="B453" s="21"/>
      <c r="C453" s="21"/>
      <c r="D453" s="21"/>
      <c r="E453" s="22"/>
      <c r="F453" s="21"/>
      <c r="G453" s="21"/>
      <c r="H453" s="19">
        <f>IF(B453="","",IF(B453="Encaissement",E453,-E453))</f>
      </c>
    </row>
    <row r="454" spans="1:8" x14ac:dyDescent="0.25">
      <c r="A454" s="20"/>
      <c r="B454" s="21"/>
      <c r="C454" s="21"/>
      <c r="D454" s="21"/>
      <c r="E454" s="22"/>
      <c r="F454" s="21"/>
      <c r="G454" s="21"/>
      <c r="H454" s="19">
        <f>IF(B454="","",IF(B454="Encaissement",E454,-E454))</f>
      </c>
    </row>
    <row r="455" spans="1:8" x14ac:dyDescent="0.25">
      <c r="A455" s="20"/>
      <c r="B455" s="21"/>
      <c r="C455" s="21"/>
      <c r="D455" s="21"/>
      <c r="E455" s="22"/>
      <c r="F455" s="21"/>
      <c r="G455" s="21"/>
      <c r="H455" s="19">
        <f>IF(B455="","",IF(B455="Encaissement",E455,-E455))</f>
      </c>
    </row>
    <row r="456" spans="1:8" x14ac:dyDescent="0.25">
      <c r="A456" s="20"/>
      <c r="B456" s="21"/>
      <c r="C456" s="21"/>
      <c r="D456" s="21"/>
      <c r="E456" s="22"/>
      <c r="F456" s="21"/>
      <c r="G456" s="21"/>
      <c r="H456" s="19">
        <f>IF(B456="","",IF(B456="Encaissement",E456,-E456))</f>
      </c>
    </row>
    <row r="457" spans="1:8" x14ac:dyDescent="0.25">
      <c r="A457" s="20"/>
      <c r="B457" s="21"/>
      <c r="C457" s="21"/>
      <c r="D457" s="21"/>
      <c r="E457" s="22"/>
      <c r="F457" s="21"/>
      <c r="G457" s="21"/>
      <c r="H457" s="19">
        <f>IF(B457="","",IF(B457="Encaissement",E457,-E457))</f>
      </c>
    </row>
    <row r="458" spans="1:8" x14ac:dyDescent="0.25">
      <c r="A458" s="20"/>
      <c r="B458" s="21"/>
      <c r="C458" s="21"/>
      <c r="D458" s="21"/>
      <c r="E458" s="22"/>
      <c r="F458" s="21"/>
      <c r="G458" s="21"/>
      <c r="H458" s="19">
        <f>IF(B458="","",IF(B458="Encaissement",E458,-E458))</f>
      </c>
    </row>
    <row r="459" spans="1:8" x14ac:dyDescent="0.25">
      <c r="A459" s="20"/>
      <c r="B459" s="21"/>
      <c r="C459" s="21"/>
      <c r="D459" s="21"/>
      <c r="E459" s="22"/>
      <c r="F459" s="21"/>
      <c r="G459" s="21"/>
      <c r="H459" s="19">
        <f>IF(B459="","",IF(B459="Encaissement",E459,-E459))</f>
      </c>
    </row>
    <row r="460" spans="1:8" x14ac:dyDescent="0.25">
      <c r="A460" s="20"/>
      <c r="B460" s="21"/>
      <c r="C460" s="21"/>
      <c r="D460" s="21"/>
      <c r="E460" s="22"/>
      <c r="F460" s="21"/>
      <c r="G460" s="21"/>
      <c r="H460" s="19">
        <f>IF(B460="","",IF(B460="Encaissement",E460,-E460))</f>
      </c>
    </row>
    <row r="461" spans="1:8" x14ac:dyDescent="0.25">
      <c r="A461" s="20"/>
      <c r="B461" s="21"/>
      <c r="C461" s="21"/>
      <c r="D461" s="21"/>
      <c r="E461" s="22"/>
      <c r="F461" s="21"/>
      <c r="G461" s="21"/>
      <c r="H461" s="19">
        <f>IF(B461="","",IF(B461="Encaissement",E461,-E461))</f>
      </c>
    </row>
    <row r="462" spans="1:8" x14ac:dyDescent="0.25">
      <c r="A462" s="20"/>
      <c r="B462" s="21"/>
      <c r="C462" s="21"/>
      <c r="D462" s="21"/>
      <c r="E462" s="22"/>
      <c r="F462" s="21"/>
      <c r="G462" s="21"/>
      <c r="H462" s="19">
        <f>IF(B462="","",IF(B462="Encaissement",E462,-E462))</f>
      </c>
    </row>
    <row r="463" spans="1:8" x14ac:dyDescent="0.25">
      <c r="A463" s="20"/>
      <c r="B463" s="21"/>
      <c r="C463" s="21"/>
      <c r="D463" s="21"/>
      <c r="E463" s="22"/>
      <c r="F463" s="21"/>
      <c r="G463" s="21"/>
      <c r="H463" s="19">
        <f>IF(B463="","",IF(B463="Encaissement",E463,-E463))</f>
      </c>
    </row>
    <row r="464" spans="1:8" x14ac:dyDescent="0.25">
      <c r="A464" s="20"/>
      <c r="B464" s="21"/>
      <c r="C464" s="21"/>
      <c r="D464" s="21"/>
      <c r="E464" s="22"/>
      <c r="F464" s="21"/>
      <c r="G464" s="21"/>
      <c r="H464" s="19">
        <f>IF(B464="","",IF(B464="Encaissement",E464,-E464))</f>
      </c>
    </row>
    <row r="465" spans="1:8" x14ac:dyDescent="0.25">
      <c r="A465" s="20"/>
      <c r="B465" s="21"/>
      <c r="C465" s="21"/>
      <c r="D465" s="21"/>
      <c r="E465" s="22"/>
      <c r="F465" s="21"/>
      <c r="G465" s="21"/>
      <c r="H465" s="19">
        <f>IF(B465="","",IF(B465="Encaissement",E465,-E465))</f>
      </c>
    </row>
    <row r="466" spans="1:8" x14ac:dyDescent="0.25">
      <c r="A466" s="20"/>
      <c r="B466" s="21"/>
      <c r="C466" s="21"/>
      <c r="D466" s="21"/>
      <c r="E466" s="22"/>
      <c r="F466" s="21"/>
      <c r="G466" s="21"/>
      <c r="H466" s="19">
        <f>IF(B466="","",IF(B466="Encaissement",E466,-E466))</f>
      </c>
    </row>
    <row r="467" spans="1:8" x14ac:dyDescent="0.25">
      <c r="A467" s="20"/>
      <c r="B467" s="21"/>
      <c r="C467" s="21"/>
      <c r="D467" s="21"/>
      <c r="E467" s="22"/>
      <c r="F467" s="21"/>
      <c r="G467" s="21"/>
      <c r="H467" s="19">
        <f>IF(B467="","",IF(B467="Encaissement",E467,-E467))</f>
      </c>
    </row>
    <row r="468" spans="1:8" x14ac:dyDescent="0.25">
      <c r="A468" s="20"/>
      <c r="B468" s="21"/>
      <c r="C468" s="21"/>
      <c r="D468" s="21"/>
      <c r="E468" s="22"/>
      <c r="F468" s="21"/>
      <c r="G468" s="21"/>
      <c r="H468" s="19">
        <f>IF(B468="","",IF(B468="Encaissement",E468,-E468))</f>
      </c>
    </row>
    <row r="469" spans="1:8" x14ac:dyDescent="0.25">
      <c r="A469" s="20"/>
      <c r="B469" s="21"/>
      <c r="C469" s="21"/>
      <c r="D469" s="21"/>
      <c r="E469" s="22"/>
      <c r="F469" s="21"/>
      <c r="G469" s="21"/>
      <c r="H469" s="19">
        <f>IF(B469="","",IF(B469="Encaissement",E469,-E469))</f>
      </c>
    </row>
    <row r="470" spans="1:8" x14ac:dyDescent="0.25">
      <c r="A470" s="20"/>
      <c r="B470" s="21"/>
      <c r="C470" s="21"/>
      <c r="D470" s="21"/>
      <c r="E470" s="22"/>
      <c r="F470" s="21"/>
      <c r="G470" s="21"/>
      <c r="H470" s="19">
        <f>IF(B470="","",IF(B470="Encaissement",E470,-E470))</f>
      </c>
    </row>
    <row r="471" spans="1:8" x14ac:dyDescent="0.25">
      <c r="A471" s="20"/>
      <c r="B471" s="21"/>
      <c r="C471" s="21"/>
      <c r="D471" s="21"/>
      <c r="E471" s="22"/>
      <c r="F471" s="21"/>
      <c r="G471" s="21"/>
      <c r="H471" s="19">
        <f>IF(B471="","",IF(B471="Encaissement",E471,-E471))</f>
      </c>
    </row>
    <row r="472" spans="1:8" x14ac:dyDescent="0.25">
      <c r="A472" s="20"/>
      <c r="B472" s="21"/>
      <c r="C472" s="21"/>
      <c r="D472" s="21"/>
      <c r="E472" s="22"/>
      <c r="F472" s="21"/>
      <c r="G472" s="21"/>
      <c r="H472" s="19">
        <f>IF(B472="","",IF(B472="Encaissement",E472,-E472))</f>
      </c>
    </row>
    <row r="473" spans="1:8" x14ac:dyDescent="0.25">
      <c r="A473" s="20"/>
      <c r="B473" s="21"/>
      <c r="C473" s="21"/>
      <c r="D473" s="21"/>
      <c r="E473" s="22"/>
      <c r="F473" s="21"/>
      <c r="G473" s="21"/>
      <c r="H473" s="19">
        <f>IF(B473="","",IF(B473="Encaissement",E473,-E473))</f>
      </c>
    </row>
    <row r="474" spans="1:8" x14ac:dyDescent="0.25">
      <c r="A474" s="20"/>
      <c r="B474" s="21"/>
      <c r="C474" s="21"/>
      <c r="D474" s="21"/>
      <c r="E474" s="22"/>
      <c r="F474" s="21"/>
      <c r="G474" s="21"/>
      <c r="H474" s="19">
        <f>IF(B474="","",IF(B474="Encaissement",E474,-E474))</f>
      </c>
    </row>
    <row r="475" spans="1:8" x14ac:dyDescent="0.25">
      <c r="A475" s="20"/>
      <c r="B475" s="21"/>
      <c r="C475" s="21"/>
      <c r="D475" s="21"/>
      <c r="E475" s="22"/>
      <c r="F475" s="21"/>
      <c r="G475" s="21"/>
      <c r="H475" s="19">
        <f>IF(B475="","",IF(B475="Encaissement",E475,-E475))</f>
      </c>
    </row>
    <row r="476" spans="1:8" x14ac:dyDescent="0.25">
      <c r="A476" s="20"/>
      <c r="B476" s="21"/>
      <c r="C476" s="21"/>
      <c r="D476" s="21"/>
      <c r="E476" s="22"/>
      <c r="F476" s="21"/>
      <c r="G476" s="21"/>
      <c r="H476" s="19">
        <f>IF(B476="","",IF(B476="Encaissement",E476,-E476))</f>
      </c>
    </row>
    <row r="477" spans="1:8" x14ac:dyDescent="0.25">
      <c r="A477" s="20"/>
      <c r="B477" s="21"/>
      <c r="C477" s="21"/>
      <c r="D477" s="21"/>
      <c r="E477" s="22"/>
      <c r="F477" s="21"/>
      <c r="G477" s="21"/>
      <c r="H477" s="19">
        <f>IF(B477="","",IF(B477="Encaissement",E477,-E477))</f>
      </c>
    </row>
    <row r="478" spans="1:8" x14ac:dyDescent="0.25">
      <c r="A478" s="20"/>
      <c r="B478" s="21"/>
      <c r="C478" s="21"/>
      <c r="D478" s="21"/>
      <c r="E478" s="22"/>
      <c r="F478" s="21"/>
      <c r="G478" s="21"/>
      <c r="H478" s="19">
        <f>IF(B478="","",IF(B478="Encaissement",E478,-E478))</f>
      </c>
    </row>
    <row r="479" spans="1:8" x14ac:dyDescent="0.25">
      <c r="A479" s="20"/>
      <c r="B479" s="21"/>
      <c r="C479" s="21"/>
      <c r="D479" s="21"/>
      <c r="E479" s="22"/>
      <c r="F479" s="21"/>
      <c r="G479" s="21"/>
      <c r="H479" s="19">
        <f>IF(B479="","",IF(B479="Encaissement",E479,-E479))</f>
      </c>
    </row>
    <row r="480" spans="1:8" x14ac:dyDescent="0.25">
      <c r="A480" s="20"/>
      <c r="B480" s="21"/>
      <c r="C480" s="21"/>
      <c r="D480" s="21"/>
      <c r="E480" s="22"/>
      <c r="F480" s="21"/>
      <c r="G480" s="21"/>
      <c r="H480" s="19">
        <f>IF(B480="","",IF(B480="Encaissement",E480,-E480))</f>
      </c>
    </row>
    <row r="481" spans="1:8" x14ac:dyDescent="0.25">
      <c r="A481" s="20"/>
      <c r="B481" s="21"/>
      <c r="C481" s="21"/>
      <c r="D481" s="21"/>
      <c r="E481" s="22"/>
      <c r="F481" s="21"/>
      <c r="G481" s="21"/>
      <c r="H481" s="19">
        <f>IF(B481="","",IF(B481="Encaissement",E481,-E481))</f>
      </c>
    </row>
    <row r="482" spans="1:8" x14ac:dyDescent="0.25">
      <c r="A482" s="20"/>
      <c r="B482" s="21"/>
      <c r="C482" s="21"/>
      <c r="D482" s="21"/>
      <c r="E482" s="22"/>
      <c r="F482" s="21"/>
      <c r="G482" s="21"/>
      <c r="H482" s="19">
        <f>IF(B482="","",IF(B482="Encaissement",E482,-E482))</f>
      </c>
    </row>
    <row r="483" spans="1:8" x14ac:dyDescent="0.25">
      <c r="A483" s="20"/>
      <c r="B483" s="21"/>
      <c r="C483" s="21"/>
      <c r="D483" s="21"/>
      <c r="E483" s="22"/>
      <c r="F483" s="21"/>
      <c r="G483" s="21"/>
      <c r="H483" s="19">
        <f>IF(B483="","",IF(B483="Encaissement",E483,-E483))</f>
      </c>
    </row>
    <row r="484" spans="1:8" x14ac:dyDescent="0.25">
      <c r="A484" s="20"/>
      <c r="B484" s="21"/>
      <c r="C484" s="21"/>
      <c r="D484" s="21"/>
      <c r="E484" s="22"/>
      <c r="F484" s="21"/>
      <c r="G484" s="21"/>
      <c r="H484" s="19">
        <f>IF(B484="","",IF(B484="Encaissement",E484,-E484))</f>
      </c>
    </row>
    <row r="485" spans="1:8" x14ac:dyDescent="0.25">
      <c r="A485" s="20"/>
      <c r="B485" s="21"/>
      <c r="C485" s="21"/>
      <c r="D485" s="21"/>
      <c r="E485" s="22"/>
      <c r="F485" s="21"/>
      <c r="G485" s="21"/>
      <c r="H485" s="19">
        <f>IF(B485="","",IF(B485="Encaissement",E485,-E485))</f>
      </c>
    </row>
    <row r="486" spans="1:8" x14ac:dyDescent="0.25">
      <c r="A486" s="20"/>
      <c r="B486" s="21"/>
      <c r="C486" s="21"/>
      <c r="D486" s="21"/>
      <c r="E486" s="22"/>
      <c r="F486" s="21"/>
      <c r="G486" s="21"/>
      <c r="H486" s="19">
        <f>IF(B486="","",IF(B486="Encaissement",E486,-E486))</f>
      </c>
    </row>
    <row r="487" spans="1:8" x14ac:dyDescent="0.25">
      <c r="A487" s="20"/>
      <c r="B487" s="21"/>
      <c r="C487" s="21"/>
      <c r="D487" s="21"/>
      <c r="E487" s="22"/>
      <c r="F487" s="21"/>
      <c r="G487" s="21"/>
      <c r="H487" s="19">
        <f>IF(B487="","",IF(B487="Encaissement",E487,-E487))</f>
      </c>
    </row>
    <row r="488" spans="1:8" x14ac:dyDescent="0.25">
      <c r="A488" s="20"/>
      <c r="B488" s="21"/>
      <c r="C488" s="21"/>
      <c r="D488" s="21"/>
      <c r="E488" s="22"/>
      <c r="F488" s="21"/>
      <c r="G488" s="21"/>
      <c r="H488" s="19">
        <f>IF(B488="","",IF(B488="Encaissement",E488,-E488))</f>
      </c>
    </row>
    <row r="489" spans="1:8" x14ac:dyDescent="0.25">
      <c r="A489" s="20"/>
      <c r="B489" s="21"/>
      <c r="C489" s="21"/>
      <c r="D489" s="21"/>
      <c r="E489" s="22"/>
      <c r="F489" s="21"/>
      <c r="G489" s="21"/>
      <c r="H489" s="19">
        <f>IF(B489="","",IF(B489="Encaissement",E489,-E489))</f>
      </c>
    </row>
    <row r="490" spans="1:8" x14ac:dyDescent="0.25">
      <c r="A490" s="20"/>
      <c r="B490" s="21"/>
      <c r="C490" s="21"/>
      <c r="D490" s="21"/>
      <c r="E490" s="22"/>
      <c r="F490" s="21"/>
      <c r="G490" s="21"/>
      <c r="H490" s="19">
        <f>IF(B490="","",IF(B490="Encaissement",E490,-E490))</f>
      </c>
    </row>
    <row r="491" spans="1:8" x14ac:dyDescent="0.25">
      <c r="A491" s="20"/>
      <c r="B491" s="21"/>
      <c r="C491" s="21"/>
      <c r="D491" s="21"/>
      <c r="E491" s="22"/>
      <c r="F491" s="21"/>
      <c r="G491" s="21"/>
      <c r="H491" s="19">
        <f>IF(B491="","",IF(B491="Encaissement",E491,-E491))</f>
      </c>
    </row>
    <row r="492" spans="1:8" x14ac:dyDescent="0.25">
      <c r="A492" s="20"/>
      <c r="B492" s="21"/>
      <c r="C492" s="21"/>
      <c r="D492" s="21"/>
      <c r="E492" s="22"/>
      <c r="F492" s="21"/>
      <c r="G492" s="21"/>
      <c r="H492" s="19">
        <f>IF(B492="","",IF(B492="Encaissement",E492,-E492))</f>
      </c>
    </row>
    <row r="493" spans="1:8" x14ac:dyDescent="0.25">
      <c r="A493" s="20"/>
      <c r="B493" s="21"/>
      <c r="C493" s="21"/>
      <c r="D493" s="21"/>
      <c r="E493" s="22"/>
      <c r="F493" s="21"/>
      <c r="G493" s="21"/>
      <c r="H493" s="19">
        <f>IF(B493="","",IF(B493="Encaissement",E493,-E493))</f>
      </c>
    </row>
    <row r="494" spans="1:8" x14ac:dyDescent="0.25">
      <c r="A494" s="20"/>
      <c r="B494" s="21"/>
      <c r="C494" s="21"/>
      <c r="D494" s="21"/>
      <c r="E494" s="22"/>
      <c r="F494" s="21"/>
      <c r="G494" s="21"/>
      <c r="H494" s="19">
        <f>IF(B494="","",IF(B494="Encaissement",E494,-E494))</f>
      </c>
    </row>
    <row r="495" spans="1:8" x14ac:dyDescent="0.25">
      <c r="A495" s="20"/>
      <c r="B495" s="21"/>
      <c r="C495" s="21"/>
      <c r="D495" s="21"/>
      <c r="E495" s="22"/>
      <c r="F495" s="21"/>
      <c r="G495" s="21"/>
      <c r="H495" s="19">
        <f>IF(B495="","",IF(B495="Encaissement",E495,-E495))</f>
      </c>
    </row>
    <row r="496" spans="1:8" x14ac:dyDescent="0.25">
      <c r="A496" s="20"/>
      <c r="B496" s="21"/>
      <c r="C496" s="21"/>
      <c r="D496" s="21"/>
      <c r="E496" s="22"/>
      <c r="F496" s="21"/>
      <c r="G496" s="21"/>
      <c r="H496" s="19">
        <f>IF(B496="","",IF(B496="Encaissement",E496,-E496))</f>
      </c>
    </row>
    <row r="497" spans="1:8" x14ac:dyDescent="0.25">
      <c r="A497" s="20"/>
      <c r="B497" s="21"/>
      <c r="C497" s="21"/>
      <c r="D497" s="21"/>
      <c r="E497" s="22"/>
      <c r="F497" s="21"/>
      <c r="G497" s="21"/>
      <c r="H497" s="19">
        <f>IF(B497="","",IF(B497="Encaissement",E497,-E497))</f>
      </c>
    </row>
    <row r="498" spans="1:8" x14ac:dyDescent="0.25">
      <c r="A498" s="20"/>
      <c r="B498" s="21"/>
      <c r="C498" s="21"/>
      <c r="D498" s="21"/>
      <c r="E498" s="22"/>
      <c r="F498" s="21"/>
      <c r="G498" s="21"/>
      <c r="H498" s="19">
        <f>IF(B498="","",IF(B498="Encaissement",E498,-E498))</f>
      </c>
    </row>
    <row r="499" spans="1:8" x14ac:dyDescent="0.25">
      <c r="A499" s="20"/>
      <c r="B499" s="21"/>
      <c r="C499" s="21"/>
      <c r="D499" s="21"/>
      <c r="E499" s="22"/>
      <c r="F499" s="21"/>
      <c r="G499" s="21"/>
      <c r="H499" s="19">
        <f>IF(B499="","",IF(B499="Encaissement",E499,-E499))</f>
      </c>
    </row>
    <row r="500" spans="1:8" x14ac:dyDescent="0.25">
      <c r="A500" s="20"/>
      <c r="B500" s="21"/>
      <c r="C500" s="21"/>
      <c r="D500" s="21"/>
      <c r="E500" s="22"/>
      <c r="F500" s="21"/>
      <c r="G500" s="21"/>
      <c r="H500" s="19">
        <f>IF(B500="","",IF(B500="Encaissement",E500,-E500))</f>
      </c>
    </row>
    <row r="501" spans="1:8" x14ac:dyDescent="0.25">
      <c r="A501" s="20"/>
      <c r="B501" s="21"/>
      <c r="C501" s="21"/>
      <c r="D501" s="21"/>
      <c r="E501" s="22"/>
      <c r="F501" s="21"/>
      <c r="G501" s="21"/>
      <c r="H501" s="19">
        <f>IF(B501="","",IF(B501="Encaissement",E501,-E501))</f>
      </c>
    </row>
    <row r="502" spans="1:8" x14ac:dyDescent="0.25">
      <c r="A502" s="20"/>
      <c r="B502" s="21"/>
      <c r="C502" s="21"/>
      <c r="D502" s="21"/>
      <c r="E502" s="22"/>
      <c r="F502" s="21"/>
      <c r="G502" s="21"/>
      <c r="H502" s="19">
        <f>IF(B502="","",IF(B502="Encaissement",E502,-E502))</f>
      </c>
    </row>
  </sheetData>
  <sheetProtection sheet="1" algorithmName="SHA-512" hashValue="2rnLePhPWzdRtcE3YtheBhcmSvJZocwmlkvmuun91o6YIfNAL7RDeTOXCZXiY/DEwk7vraKr46RILv/T/GclFg==" saltValue="Ewn6SSevY7zSceqcL/a/Yw==" spinCount="100000"/>
  <autoFilter ref="A2:H502"/>
  <mergeCells count="1">
    <mergeCell ref="A1:H1"/>
  </mergeCells>
  <dataValidations count="10">
    <dataValidation type="date" showErrorMessage="1" errorTitle="Date obligatoire" error="Saisissez une date valide." sqref="A10:A502">
      <formula1>NaN</formula1>
      <formula2>NaN</formula2>
    </dataValidation>
    <dataValidation type="date" showErrorMessage="1" errorTitle="Date obligatoire" error="Saisissez une date valide." sqref="A3:A502">
      <formula1>NaN</formula1>
      <formula2>NaN</formula2>
    </dataValidation>
    <dataValidation type="list" showErrorMessage="1" error="Sélectionnez Encaissement ou Décaissement." sqref="B10:B502">
      <formula1>'99_LISTES'!$A$2:$A$3</formula1>
    </dataValidation>
    <dataValidation type="list" showErrorMessage="1" error="Sélectionnez Encaissement ou Décaissement." sqref="B3:B502">
      <formula1>'99_LISTES'!$A$2:$A$3</formula1>
    </dataValidation>
    <dataValidation type="list" showErrorMessage="1" error="Sélectionnez une catégorie." sqref="C10:C502">
      <formula1>'99_LISTES'!$B$2:$B$18</formula1>
    </dataValidation>
    <dataValidation type="list" showErrorMessage="1" error="Sélectionnez une catégorie." sqref="C3:C502">
      <formula1>'99_LISTES'!$B$2:$B$18</formula1>
    </dataValidation>
    <dataValidation type="decimal" operator="greaterThan" showErrorMessage="1" errorTitle="Montant incorrect" error="Saisissez un montant positif." sqref="E10:E502">
      <formula1>0</formula1>
    </dataValidation>
    <dataValidation type="decimal" operator="greaterThan" showErrorMessage="1" errorTitle="Montant incorrect" error="Saisissez un montant positif." sqref="E3:E502">
      <formula1>0</formula1>
    </dataValidation>
    <dataValidation type="list" showErrorMessage="1" error="Sélectionnez Prévu ou Réalisé." sqref="F10:F502">
      <formula1>'99_LISTES'!$C$2:$C$3</formula1>
    </dataValidation>
    <dataValidation type="list" showErrorMessage="1" error="Sélectionnez Prévu ou Réalisé." sqref="F3:F502">
      <formula1>'99_LISTES'!$C$2:$C$3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4" style="13" customWidth="1"/>
    <col min="2" max="2" width="20" style="14" customWidth="1"/>
    <col min="3" max="6" width="22" style="14" customWidth="1"/>
    <col min="7" max="7" width="18" style="14" customWidth="1"/>
    <col min="8" max="8" width="14" customWidth="1"/>
  </cols>
  <sheetData>
    <row r="1" spans="1:8" x14ac:dyDescent="0.25">
      <c r="A1" s="28" t="s">
        <v>21</v>
      </c>
      <c r="B1" s="29" t="s">
        <v>49</v>
      </c>
      <c r="C1" s="29" t="s">
        <v>50</v>
      </c>
      <c r="D1" s="29" t="s">
        <v>51</v>
      </c>
      <c r="E1" s="29" t="s">
        <v>52</v>
      </c>
      <c r="F1" s="29" t="s">
        <v>53</v>
      </c>
      <c r="G1" s="29" t="s">
        <v>18</v>
      </c>
      <c r="H1" s="30" t="s">
        <v>54</v>
      </c>
    </row>
    <row r="2" spans="1:8" x14ac:dyDescent="0.25">
      <c r="A2" s="25">
        <f>'02_PARAMETRES'!B9</f>
      </c>
      <c r="B2" s="19">
        <f>SUMIFS('03_FLUX'!$E$3:$E$502,'03_FLUX'!$A$3:$A$502,A2,'03_FLUX'!$B$3:$B$502,"Encaissement",'03_FLUX'!$F$3:$F$502,"Prévu")</f>
      </c>
      <c r="C2" s="19">
        <f>SUMIFS('03_FLUX'!$E$3:$E$502,'03_FLUX'!$A$3:$A$502,A2,'03_FLUX'!$B$3:$B$502,"Décaissement",'03_FLUX'!$F$3:$F$502,"Prévu")</f>
      </c>
      <c r="D2" s="19">
        <f>SUMIFS('03_FLUX'!$E$3:$E$502,'03_FLUX'!$A$3:$A$502,A2,'03_FLUX'!$B$3:$B$502,"Encaissement",'03_FLUX'!$F$3:$F$502,"Réalisé")</f>
      </c>
      <c r="E2" s="19">
        <f>SUMIFS('03_FLUX'!$E$3:$E$502,'03_FLUX'!$A$3:$A$502,A2,'03_FLUX'!$B$3:$B$502,"Décaissement",'03_FLUX'!$F$3:$F$502,"Réalisé")</f>
      </c>
      <c r="F2" s="19">
        <f>'02_PARAMETRES'!B7+D2-E2+B2-C2</f>
      </c>
      <c r="G2" s="19">
        <f>'02_PARAMETRES'!B8</f>
      </c>
      <c r="H2" s="8">
        <f>IF(F2&lt;G2,"ALERTE",IF(F2&lt;G2*1.2,"VIGILANCE","NORMAL"))</f>
      </c>
    </row>
    <row r="3" spans="1:8" x14ac:dyDescent="0.25">
      <c r="A3" s="25">
        <f>A2+1</f>
      </c>
      <c r="B3" s="19">
        <f>SUMIFS('03_FLUX'!$E$3:$E$502,'03_FLUX'!$A$3:$A$502,A3,'03_FLUX'!$B$3:$B$502,"Encaissement",'03_FLUX'!$F$3:$F$502,"Prévu")</f>
      </c>
      <c r="C3" s="19">
        <f>SUMIFS('03_FLUX'!$E$3:$E$502,'03_FLUX'!$A$3:$A$502,A3,'03_FLUX'!$B$3:$B$502,"Décaissement",'03_FLUX'!$F$3:$F$502,"Prévu")</f>
      </c>
      <c r="D3" s="19">
        <f>SUMIFS('03_FLUX'!$E$3:$E$502,'03_FLUX'!$A$3:$A$502,A3,'03_FLUX'!$B$3:$B$502,"Encaissement",'03_FLUX'!$F$3:$F$502,"Réalisé")</f>
      </c>
      <c r="E3" s="19">
        <f>SUMIFS('03_FLUX'!$E$3:$E$502,'03_FLUX'!$A$3:$A$502,A3,'03_FLUX'!$B$3:$B$502,"Décaissement",'03_FLUX'!$F$3:$F$502,"Réalisé")</f>
      </c>
      <c r="F3" s="19">
        <f>F2+D3-E3+B3-C3</f>
      </c>
      <c r="G3" s="19">
        <f>'02_PARAMETRES'!B8</f>
      </c>
      <c r="H3" s="8">
        <f>IF(F3&lt;G3,"ALERTE",IF(F3&lt;G3*1.2,"VIGILANCE","NORMAL"))</f>
      </c>
    </row>
    <row r="4" spans="1:8" x14ac:dyDescent="0.25">
      <c r="A4" s="25">
        <f>A3+1</f>
      </c>
      <c r="B4" s="19">
        <f>SUMIFS('03_FLUX'!$E$3:$E$502,'03_FLUX'!$A$3:$A$502,A4,'03_FLUX'!$B$3:$B$502,"Encaissement",'03_FLUX'!$F$3:$F$502,"Prévu")</f>
      </c>
      <c r="C4" s="19">
        <f>SUMIFS('03_FLUX'!$E$3:$E$502,'03_FLUX'!$A$3:$A$502,A4,'03_FLUX'!$B$3:$B$502,"Décaissement",'03_FLUX'!$F$3:$F$502,"Prévu")</f>
      </c>
      <c r="D4" s="19">
        <f>SUMIFS('03_FLUX'!$E$3:$E$502,'03_FLUX'!$A$3:$A$502,A4,'03_FLUX'!$B$3:$B$502,"Encaissement",'03_FLUX'!$F$3:$F$502,"Réalisé")</f>
      </c>
      <c r="E4" s="19">
        <f>SUMIFS('03_FLUX'!$E$3:$E$502,'03_FLUX'!$A$3:$A$502,A4,'03_FLUX'!$B$3:$B$502,"Décaissement",'03_FLUX'!$F$3:$F$502,"Réalisé")</f>
      </c>
      <c r="F4" s="19">
        <f>F3+D4-E4+B4-C4</f>
      </c>
      <c r="G4" s="19">
        <f>'02_PARAMETRES'!B8</f>
      </c>
      <c r="H4" s="8">
        <f>IF(F4&lt;G4,"ALERTE",IF(F4&lt;G4*1.2,"VIGILANCE","NORMAL"))</f>
      </c>
    </row>
    <row r="5" spans="1:8" x14ac:dyDescent="0.25">
      <c r="A5" s="25">
        <f>A4+1</f>
      </c>
      <c r="B5" s="19">
        <f>SUMIFS('03_FLUX'!$E$3:$E$502,'03_FLUX'!$A$3:$A$502,A5,'03_FLUX'!$B$3:$B$502,"Encaissement",'03_FLUX'!$F$3:$F$502,"Prévu")</f>
      </c>
      <c r="C5" s="19">
        <f>SUMIFS('03_FLUX'!$E$3:$E$502,'03_FLUX'!$A$3:$A$502,A5,'03_FLUX'!$B$3:$B$502,"Décaissement",'03_FLUX'!$F$3:$F$502,"Prévu")</f>
      </c>
      <c r="D5" s="19">
        <f>SUMIFS('03_FLUX'!$E$3:$E$502,'03_FLUX'!$A$3:$A$502,A5,'03_FLUX'!$B$3:$B$502,"Encaissement",'03_FLUX'!$F$3:$F$502,"Réalisé")</f>
      </c>
      <c r="E5" s="19">
        <f>SUMIFS('03_FLUX'!$E$3:$E$502,'03_FLUX'!$A$3:$A$502,A5,'03_FLUX'!$B$3:$B$502,"Décaissement",'03_FLUX'!$F$3:$F$502,"Réalisé")</f>
      </c>
      <c r="F5" s="19">
        <f>F4+D5-E5+B5-C5</f>
      </c>
      <c r="G5" s="19">
        <f>'02_PARAMETRES'!B8</f>
      </c>
      <c r="H5" s="8">
        <f>IF(F5&lt;G5,"ALERTE",IF(F5&lt;G5*1.2,"VIGILANCE","NORMAL"))</f>
      </c>
    </row>
    <row r="6" spans="1:8" x14ac:dyDescent="0.25">
      <c r="A6" s="25">
        <f>A5+1</f>
      </c>
      <c r="B6" s="19">
        <f>SUMIFS('03_FLUX'!$E$3:$E$502,'03_FLUX'!$A$3:$A$502,A6,'03_FLUX'!$B$3:$B$502,"Encaissement",'03_FLUX'!$F$3:$F$502,"Prévu")</f>
      </c>
      <c r="C6" s="19">
        <f>SUMIFS('03_FLUX'!$E$3:$E$502,'03_FLUX'!$A$3:$A$502,A6,'03_FLUX'!$B$3:$B$502,"Décaissement",'03_FLUX'!$F$3:$F$502,"Prévu")</f>
      </c>
      <c r="D6" s="19">
        <f>SUMIFS('03_FLUX'!$E$3:$E$502,'03_FLUX'!$A$3:$A$502,A6,'03_FLUX'!$B$3:$B$502,"Encaissement",'03_FLUX'!$F$3:$F$502,"Réalisé")</f>
      </c>
      <c r="E6" s="19">
        <f>SUMIFS('03_FLUX'!$E$3:$E$502,'03_FLUX'!$A$3:$A$502,A6,'03_FLUX'!$B$3:$B$502,"Décaissement",'03_FLUX'!$F$3:$F$502,"Réalisé")</f>
      </c>
      <c r="F6" s="19">
        <f>F5+D6-E6+B6-C6</f>
      </c>
      <c r="G6" s="19">
        <f>'02_PARAMETRES'!B8</f>
      </c>
      <c r="H6" s="8">
        <f>IF(F6&lt;G6,"ALERTE",IF(F6&lt;G6*1.2,"VIGILANCE","NORMAL"))</f>
      </c>
    </row>
    <row r="7" spans="1:8" x14ac:dyDescent="0.25">
      <c r="A7" s="25">
        <f>A6+1</f>
      </c>
      <c r="B7" s="19">
        <f>SUMIFS('03_FLUX'!$E$3:$E$502,'03_FLUX'!$A$3:$A$502,A7,'03_FLUX'!$B$3:$B$502,"Encaissement",'03_FLUX'!$F$3:$F$502,"Prévu")</f>
      </c>
      <c r="C7" s="19">
        <f>SUMIFS('03_FLUX'!$E$3:$E$502,'03_FLUX'!$A$3:$A$502,A7,'03_FLUX'!$B$3:$B$502,"Décaissement",'03_FLUX'!$F$3:$F$502,"Prévu")</f>
      </c>
      <c r="D7" s="19">
        <f>SUMIFS('03_FLUX'!$E$3:$E$502,'03_FLUX'!$A$3:$A$502,A7,'03_FLUX'!$B$3:$B$502,"Encaissement",'03_FLUX'!$F$3:$F$502,"Réalisé")</f>
      </c>
      <c r="E7" s="19">
        <f>SUMIFS('03_FLUX'!$E$3:$E$502,'03_FLUX'!$A$3:$A$502,A7,'03_FLUX'!$B$3:$B$502,"Décaissement",'03_FLUX'!$F$3:$F$502,"Réalisé")</f>
      </c>
      <c r="F7" s="19">
        <f>F6+D7-E7+B7-C7</f>
      </c>
      <c r="G7" s="19">
        <f>'02_PARAMETRES'!B8</f>
      </c>
      <c r="H7" s="8">
        <f>IF(F7&lt;G7,"ALERTE",IF(F7&lt;G7*1.2,"VIGILANCE","NORMAL"))</f>
      </c>
    </row>
    <row r="8" spans="1:8" x14ac:dyDescent="0.25">
      <c r="A8" s="25">
        <f>A7+1</f>
      </c>
      <c r="B8" s="19">
        <f>SUMIFS('03_FLUX'!$E$3:$E$502,'03_FLUX'!$A$3:$A$502,A8,'03_FLUX'!$B$3:$B$502,"Encaissement",'03_FLUX'!$F$3:$F$502,"Prévu")</f>
      </c>
      <c r="C8" s="19">
        <f>SUMIFS('03_FLUX'!$E$3:$E$502,'03_FLUX'!$A$3:$A$502,A8,'03_FLUX'!$B$3:$B$502,"Décaissement",'03_FLUX'!$F$3:$F$502,"Prévu")</f>
      </c>
      <c r="D8" s="19">
        <f>SUMIFS('03_FLUX'!$E$3:$E$502,'03_FLUX'!$A$3:$A$502,A8,'03_FLUX'!$B$3:$B$502,"Encaissement",'03_FLUX'!$F$3:$F$502,"Réalisé")</f>
      </c>
      <c r="E8" s="19">
        <f>SUMIFS('03_FLUX'!$E$3:$E$502,'03_FLUX'!$A$3:$A$502,A8,'03_FLUX'!$B$3:$B$502,"Décaissement",'03_FLUX'!$F$3:$F$502,"Réalisé")</f>
      </c>
      <c r="F8" s="19">
        <f>F7+D8-E8+B8-C8</f>
      </c>
      <c r="G8" s="19">
        <f>'02_PARAMETRES'!B8</f>
      </c>
      <c r="H8" s="8">
        <f>IF(F8&lt;G8,"ALERTE",IF(F8&lt;G8*1.2,"VIGILANCE","NORMAL"))</f>
      </c>
    </row>
    <row r="9" spans="1:8" x14ac:dyDescent="0.25">
      <c r="A9" s="25">
        <f>A8+1</f>
      </c>
      <c r="B9" s="19">
        <f>SUMIFS('03_FLUX'!$E$3:$E$502,'03_FLUX'!$A$3:$A$502,A9,'03_FLUX'!$B$3:$B$502,"Encaissement",'03_FLUX'!$F$3:$F$502,"Prévu")</f>
      </c>
      <c r="C9" s="19">
        <f>SUMIFS('03_FLUX'!$E$3:$E$502,'03_FLUX'!$A$3:$A$502,A9,'03_FLUX'!$B$3:$B$502,"Décaissement",'03_FLUX'!$F$3:$F$502,"Prévu")</f>
      </c>
      <c r="D9" s="19">
        <f>SUMIFS('03_FLUX'!$E$3:$E$502,'03_FLUX'!$A$3:$A$502,A9,'03_FLUX'!$B$3:$B$502,"Encaissement",'03_FLUX'!$F$3:$F$502,"Réalisé")</f>
      </c>
      <c r="E9" s="19">
        <f>SUMIFS('03_FLUX'!$E$3:$E$502,'03_FLUX'!$A$3:$A$502,A9,'03_FLUX'!$B$3:$B$502,"Décaissement",'03_FLUX'!$F$3:$F$502,"Réalisé")</f>
      </c>
      <c r="F9" s="19">
        <f>F8+D9-E9+B9-C9</f>
      </c>
      <c r="G9" s="19">
        <f>'02_PARAMETRES'!B8</f>
      </c>
      <c r="H9" s="8">
        <f>IF(F9&lt;G9,"ALERTE",IF(F9&lt;G9*1.2,"VIGILANCE","NORMAL"))</f>
      </c>
    </row>
    <row r="10" spans="1:8" x14ac:dyDescent="0.25">
      <c r="A10" s="25">
        <f>A9+1</f>
      </c>
      <c r="B10" s="19">
        <f>SUMIFS('03_FLUX'!$E$3:$E$502,'03_FLUX'!$A$3:$A$502,A10,'03_FLUX'!$B$3:$B$502,"Encaissement",'03_FLUX'!$F$3:$F$502,"Prévu")</f>
      </c>
      <c r="C10" s="19">
        <f>SUMIFS('03_FLUX'!$E$3:$E$502,'03_FLUX'!$A$3:$A$502,A10,'03_FLUX'!$B$3:$B$502,"Décaissement",'03_FLUX'!$F$3:$F$502,"Prévu")</f>
      </c>
      <c r="D10" s="19">
        <f>SUMIFS('03_FLUX'!$E$3:$E$502,'03_FLUX'!$A$3:$A$502,A10,'03_FLUX'!$B$3:$B$502,"Encaissement",'03_FLUX'!$F$3:$F$502,"Réalisé")</f>
      </c>
      <c r="E10" s="19">
        <f>SUMIFS('03_FLUX'!$E$3:$E$502,'03_FLUX'!$A$3:$A$502,A10,'03_FLUX'!$B$3:$B$502,"Décaissement",'03_FLUX'!$F$3:$F$502,"Réalisé")</f>
      </c>
      <c r="F10" s="19">
        <f>F9+D10-E10+B10-C10</f>
      </c>
      <c r="G10" s="19">
        <f>'02_PARAMETRES'!B8</f>
      </c>
      <c r="H10" s="8">
        <f>IF(F10&lt;G10,"ALERTE",IF(F10&lt;G10*1.2,"VIGILANCE","NORMAL"))</f>
      </c>
    </row>
    <row r="11" spans="1:8" x14ac:dyDescent="0.25">
      <c r="A11" s="25">
        <f>A10+1</f>
      </c>
      <c r="B11" s="19">
        <f>SUMIFS('03_FLUX'!$E$3:$E$502,'03_FLUX'!$A$3:$A$502,A11,'03_FLUX'!$B$3:$B$502,"Encaissement",'03_FLUX'!$F$3:$F$502,"Prévu")</f>
      </c>
      <c r="C11" s="19">
        <f>SUMIFS('03_FLUX'!$E$3:$E$502,'03_FLUX'!$A$3:$A$502,A11,'03_FLUX'!$B$3:$B$502,"Décaissement",'03_FLUX'!$F$3:$F$502,"Prévu")</f>
      </c>
      <c r="D11" s="19">
        <f>SUMIFS('03_FLUX'!$E$3:$E$502,'03_FLUX'!$A$3:$A$502,A11,'03_FLUX'!$B$3:$B$502,"Encaissement",'03_FLUX'!$F$3:$F$502,"Réalisé")</f>
      </c>
      <c r="E11" s="19">
        <f>SUMIFS('03_FLUX'!$E$3:$E$502,'03_FLUX'!$A$3:$A$502,A11,'03_FLUX'!$B$3:$B$502,"Décaissement",'03_FLUX'!$F$3:$F$502,"Réalisé")</f>
      </c>
      <c r="F11" s="19">
        <f>F10+D11-E11+B11-C11</f>
      </c>
      <c r="G11" s="19">
        <f>'02_PARAMETRES'!B8</f>
      </c>
      <c r="H11" s="8">
        <f>IF(F11&lt;G11,"ALERTE",IF(F11&lt;G11*1.2,"VIGILANCE","NORMAL"))</f>
      </c>
    </row>
    <row r="12" spans="1:8" x14ac:dyDescent="0.25">
      <c r="A12" s="25">
        <f>A11+1</f>
      </c>
      <c r="B12" s="19">
        <f>SUMIFS('03_FLUX'!$E$3:$E$502,'03_FLUX'!$A$3:$A$502,A12,'03_FLUX'!$B$3:$B$502,"Encaissement",'03_FLUX'!$F$3:$F$502,"Prévu")</f>
      </c>
      <c r="C12" s="19">
        <f>SUMIFS('03_FLUX'!$E$3:$E$502,'03_FLUX'!$A$3:$A$502,A12,'03_FLUX'!$B$3:$B$502,"Décaissement",'03_FLUX'!$F$3:$F$502,"Prévu")</f>
      </c>
      <c r="D12" s="19">
        <f>SUMIFS('03_FLUX'!$E$3:$E$502,'03_FLUX'!$A$3:$A$502,A12,'03_FLUX'!$B$3:$B$502,"Encaissement",'03_FLUX'!$F$3:$F$502,"Réalisé")</f>
      </c>
      <c r="E12" s="19">
        <f>SUMIFS('03_FLUX'!$E$3:$E$502,'03_FLUX'!$A$3:$A$502,A12,'03_FLUX'!$B$3:$B$502,"Décaissement",'03_FLUX'!$F$3:$F$502,"Réalisé")</f>
      </c>
      <c r="F12" s="19">
        <f>F11+D12-E12+B12-C12</f>
      </c>
      <c r="G12" s="19">
        <f>'02_PARAMETRES'!B8</f>
      </c>
      <c r="H12" s="8">
        <f>IF(F12&lt;G12,"ALERTE",IF(F12&lt;G12*1.2,"VIGILANCE","NORMAL"))</f>
      </c>
    </row>
    <row r="13" spans="1:8" x14ac:dyDescent="0.25">
      <c r="A13" s="25">
        <f>A12+1</f>
      </c>
      <c r="B13" s="19">
        <f>SUMIFS('03_FLUX'!$E$3:$E$502,'03_FLUX'!$A$3:$A$502,A13,'03_FLUX'!$B$3:$B$502,"Encaissement",'03_FLUX'!$F$3:$F$502,"Prévu")</f>
      </c>
      <c r="C13" s="19">
        <f>SUMIFS('03_FLUX'!$E$3:$E$502,'03_FLUX'!$A$3:$A$502,A13,'03_FLUX'!$B$3:$B$502,"Décaissement",'03_FLUX'!$F$3:$F$502,"Prévu")</f>
      </c>
      <c r="D13" s="19">
        <f>SUMIFS('03_FLUX'!$E$3:$E$502,'03_FLUX'!$A$3:$A$502,A13,'03_FLUX'!$B$3:$B$502,"Encaissement",'03_FLUX'!$F$3:$F$502,"Réalisé")</f>
      </c>
      <c r="E13" s="19">
        <f>SUMIFS('03_FLUX'!$E$3:$E$502,'03_FLUX'!$A$3:$A$502,A13,'03_FLUX'!$B$3:$B$502,"Décaissement",'03_FLUX'!$F$3:$F$502,"Réalisé")</f>
      </c>
      <c r="F13" s="19">
        <f>F12+D13-E13+B13-C13</f>
      </c>
      <c r="G13" s="19">
        <f>'02_PARAMETRES'!B8</f>
      </c>
      <c r="H13" s="8">
        <f>IF(F13&lt;G13,"ALERTE",IF(F13&lt;G13*1.2,"VIGILANCE","NORMAL"))</f>
      </c>
    </row>
    <row r="14" spans="1:8" x14ac:dyDescent="0.25">
      <c r="A14" s="25">
        <f>A13+1</f>
      </c>
      <c r="B14" s="19">
        <f>SUMIFS('03_FLUX'!$E$3:$E$502,'03_FLUX'!$A$3:$A$502,A14,'03_FLUX'!$B$3:$B$502,"Encaissement",'03_FLUX'!$F$3:$F$502,"Prévu")</f>
      </c>
      <c r="C14" s="19">
        <f>SUMIFS('03_FLUX'!$E$3:$E$502,'03_FLUX'!$A$3:$A$502,A14,'03_FLUX'!$B$3:$B$502,"Décaissement",'03_FLUX'!$F$3:$F$502,"Prévu")</f>
      </c>
      <c r="D14" s="19">
        <f>SUMIFS('03_FLUX'!$E$3:$E$502,'03_FLUX'!$A$3:$A$502,A14,'03_FLUX'!$B$3:$B$502,"Encaissement",'03_FLUX'!$F$3:$F$502,"Réalisé")</f>
      </c>
      <c r="E14" s="19">
        <f>SUMIFS('03_FLUX'!$E$3:$E$502,'03_FLUX'!$A$3:$A$502,A14,'03_FLUX'!$B$3:$B$502,"Décaissement",'03_FLUX'!$F$3:$F$502,"Réalisé")</f>
      </c>
      <c r="F14" s="19">
        <f>F13+D14-E14+B14-C14</f>
      </c>
      <c r="G14" s="19">
        <f>'02_PARAMETRES'!B8</f>
      </c>
      <c r="H14" s="8">
        <f>IF(F14&lt;G14,"ALERTE",IF(F14&lt;G14*1.2,"VIGILANCE","NORMAL"))</f>
      </c>
    </row>
    <row r="15" spans="1:8" x14ac:dyDescent="0.25">
      <c r="A15" s="25">
        <f>A14+1</f>
      </c>
      <c r="B15" s="19">
        <f>SUMIFS('03_FLUX'!$E$3:$E$502,'03_FLUX'!$A$3:$A$502,A15,'03_FLUX'!$B$3:$B$502,"Encaissement",'03_FLUX'!$F$3:$F$502,"Prévu")</f>
      </c>
      <c r="C15" s="19">
        <f>SUMIFS('03_FLUX'!$E$3:$E$502,'03_FLUX'!$A$3:$A$502,A15,'03_FLUX'!$B$3:$B$502,"Décaissement",'03_FLUX'!$F$3:$F$502,"Prévu")</f>
      </c>
      <c r="D15" s="19">
        <f>SUMIFS('03_FLUX'!$E$3:$E$502,'03_FLUX'!$A$3:$A$502,A15,'03_FLUX'!$B$3:$B$502,"Encaissement",'03_FLUX'!$F$3:$F$502,"Réalisé")</f>
      </c>
      <c r="E15" s="19">
        <f>SUMIFS('03_FLUX'!$E$3:$E$502,'03_FLUX'!$A$3:$A$502,A15,'03_FLUX'!$B$3:$B$502,"Décaissement",'03_FLUX'!$F$3:$F$502,"Réalisé")</f>
      </c>
      <c r="F15" s="19">
        <f>F14+D15-E15+B15-C15</f>
      </c>
      <c r="G15" s="19">
        <f>'02_PARAMETRES'!B8</f>
      </c>
      <c r="H15" s="8">
        <f>IF(F15&lt;G15,"ALERTE",IF(F15&lt;G15*1.2,"VIGILANCE","NORMAL"))</f>
      </c>
    </row>
    <row r="16" spans="1:8" x14ac:dyDescent="0.25">
      <c r="A16" s="25">
        <f>A15+1</f>
      </c>
      <c r="B16" s="19">
        <f>SUMIFS('03_FLUX'!$E$3:$E$502,'03_FLUX'!$A$3:$A$502,A16,'03_FLUX'!$B$3:$B$502,"Encaissement",'03_FLUX'!$F$3:$F$502,"Prévu")</f>
      </c>
      <c r="C16" s="19">
        <f>SUMIFS('03_FLUX'!$E$3:$E$502,'03_FLUX'!$A$3:$A$502,A16,'03_FLUX'!$B$3:$B$502,"Décaissement",'03_FLUX'!$F$3:$F$502,"Prévu")</f>
      </c>
      <c r="D16" s="19">
        <f>SUMIFS('03_FLUX'!$E$3:$E$502,'03_FLUX'!$A$3:$A$502,A16,'03_FLUX'!$B$3:$B$502,"Encaissement",'03_FLUX'!$F$3:$F$502,"Réalisé")</f>
      </c>
      <c r="E16" s="19">
        <f>SUMIFS('03_FLUX'!$E$3:$E$502,'03_FLUX'!$A$3:$A$502,A16,'03_FLUX'!$B$3:$B$502,"Décaissement",'03_FLUX'!$F$3:$F$502,"Réalisé")</f>
      </c>
      <c r="F16" s="19">
        <f>F15+D16-E16+B16-C16</f>
      </c>
      <c r="G16" s="19">
        <f>'02_PARAMETRES'!B8</f>
      </c>
      <c r="H16" s="8">
        <f>IF(F16&lt;G16,"ALERTE",IF(F16&lt;G16*1.2,"VIGILANCE","NORMAL"))</f>
      </c>
    </row>
    <row r="17" spans="1:8" x14ac:dyDescent="0.25">
      <c r="A17" s="25">
        <f>A16+1</f>
      </c>
      <c r="B17" s="19">
        <f>SUMIFS('03_FLUX'!$E$3:$E$502,'03_FLUX'!$A$3:$A$502,A17,'03_FLUX'!$B$3:$B$502,"Encaissement",'03_FLUX'!$F$3:$F$502,"Prévu")</f>
      </c>
      <c r="C17" s="19">
        <f>SUMIFS('03_FLUX'!$E$3:$E$502,'03_FLUX'!$A$3:$A$502,A17,'03_FLUX'!$B$3:$B$502,"Décaissement",'03_FLUX'!$F$3:$F$502,"Prévu")</f>
      </c>
      <c r="D17" s="19">
        <f>SUMIFS('03_FLUX'!$E$3:$E$502,'03_FLUX'!$A$3:$A$502,A17,'03_FLUX'!$B$3:$B$502,"Encaissement",'03_FLUX'!$F$3:$F$502,"Réalisé")</f>
      </c>
      <c r="E17" s="19">
        <f>SUMIFS('03_FLUX'!$E$3:$E$502,'03_FLUX'!$A$3:$A$502,A17,'03_FLUX'!$B$3:$B$502,"Décaissement",'03_FLUX'!$F$3:$F$502,"Réalisé")</f>
      </c>
      <c r="F17" s="19">
        <f>F16+D17-E17+B17-C17</f>
      </c>
      <c r="G17" s="19">
        <f>'02_PARAMETRES'!B8</f>
      </c>
      <c r="H17" s="8">
        <f>IF(F17&lt;G17,"ALERTE",IF(F17&lt;G17*1.2,"VIGILANCE","NORMAL"))</f>
      </c>
    </row>
    <row r="18" spans="1:8" x14ac:dyDescent="0.25">
      <c r="A18" s="25">
        <f>A17+1</f>
      </c>
      <c r="B18" s="19">
        <f>SUMIFS('03_FLUX'!$E$3:$E$502,'03_FLUX'!$A$3:$A$502,A18,'03_FLUX'!$B$3:$B$502,"Encaissement",'03_FLUX'!$F$3:$F$502,"Prévu")</f>
      </c>
      <c r="C18" s="19">
        <f>SUMIFS('03_FLUX'!$E$3:$E$502,'03_FLUX'!$A$3:$A$502,A18,'03_FLUX'!$B$3:$B$502,"Décaissement",'03_FLUX'!$F$3:$F$502,"Prévu")</f>
      </c>
      <c r="D18" s="19">
        <f>SUMIFS('03_FLUX'!$E$3:$E$502,'03_FLUX'!$A$3:$A$502,A18,'03_FLUX'!$B$3:$B$502,"Encaissement",'03_FLUX'!$F$3:$F$502,"Réalisé")</f>
      </c>
      <c r="E18" s="19">
        <f>SUMIFS('03_FLUX'!$E$3:$E$502,'03_FLUX'!$A$3:$A$502,A18,'03_FLUX'!$B$3:$B$502,"Décaissement",'03_FLUX'!$F$3:$F$502,"Réalisé")</f>
      </c>
      <c r="F18" s="19">
        <f>F17+D18-E18+B18-C18</f>
      </c>
      <c r="G18" s="19">
        <f>'02_PARAMETRES'!B8</f>
      </c>
      <c r="H18" s="8">
        <f>IF(F18&lt;G18,"ALERTE",IF(F18&lt;G18*1.2,"VIGILANCE","NORMAL"))</f>
      </c>
    </row>
    <row r="19" spans="1:8" x14ac:dyDescent="0.25">
      <c r="A19" s="25">
        <f>A18+1</f>
      </c>
      <c r="B19" s="19">
        <f>SUMIFS('03_FLUX'!$E$3:$E$502,'03_FLUX'!$A$3:$A$502,A19,'03_FLUX'!$B$3:$B$502,"Encaissement",'03_FLUX'!$F$3:$F$502,"Prévu")</f>
      </c>
      <c r="C19" s="19">
        <f>SUMIFS('03_FLUX'!$E$3:$E$502,'03_FLUX'!$A$3:$A$502,A19,'03_FLUX'!$B$3:$B$502,"Décaissement",'03_FLUX'!$F$3:$F$502,"Prévu")</f>
      </c>
      <c r="D19" s="19">
        <f>SUMIFS('03_FLUX'!$E$3:$E$502,'03_FLUX'!$A$3:$A$502,A19,'03_FLUX'!$B$3:$B$502,"Encaissement",'03_FLUX'!$F$3:$F$502,"Réalisé")</f>
      </c>
      <c r="E19" s="19">
        <f>SUMIFS('03_FLUX'!$E$3:$E$502,'03_FLUX'!$A$3:$A$502,A19,'03_FLUX'!$B$3:$B$502,"Décaissement",'03_FLUX'!$F$3:$F$502,"Réalisé")</f>
      </c>
      <c r="F19" s="19">
        <f>F18+D19-E19+B19-C19</f>
      </c>
      <c r="G19" s="19">
        <f>'02_PARAMETRES'!B8</f>
      </c>
      <c r="H19" s="8">
        <f>IF(F19&lt;G19,"ALERTE",IF(F19&lt;G19*1.2,"VIGILANCE","NORMAL"))</f>
      </c>
    </row>
    <row r="20" spans="1:8" x14ac:dyDescent="0.25">
      <c r="A20" s="25">
        <f>A19+1</f>
      </c>
      <c r="B20" s="19">
        <f>SUMIFS('03_FLUX'!$E$3:$E$502,'03_FLUX'!$A$3:$A$502,A20,'03_FLUX'!$B$3:$B$502,"Encaissement",'03_FLUX'!$F$3:$F$502,"Prévu")</f>
      </c>
      <c r="C20" s="19">
        <f>SUMIFS('03_FLUX'!$E$3:$E$502,'03_FLUX'!$A$3:$A$502,A20,'03_FLUX'!$B$3:$B$502,"Décaissement",'03_FLUX'!$F$3:$F$502,"Prévu")</f>
      </c>
      <c r="D20" s="19">
        <f>SUMIFS('03_FLUX'!$E$3:$E$502,'03_FLUX'!$A$3:$A$502,A20,'03_FLUX'!$B$3:$B$502,"Encaissement",'03_FLUX'!$F$3:$F$502,"Réalisé")</f>
      </c>
      <c r="E20" s="19">
        <f>SUMIFS('03_FLUX'!$E$3:$E$502,'03_FLUX'!$A$3:$A$502,A20,'03_FLUX'!$B$3:$B$502,"Décaissement",'03_FLUX'!$F$3:$F$502,"Réalisé")</f>
      </c>
      <c r="F20" s="19">
        <f>F19+D20-E20+B20-C20</f>
      </c>
      <c r="G20" s="19">
        <f>'02_PARAMETRES'!B8</f>
      </c>
      <c r="H20" s="8">
        <f>IF(F20&lt;G20,"ALERTE",IF(F20&lt;G20*1.2,"VIGILANCE","NORMAL"))</f>
      </c>
    </row>
    <row r="21" spans="1:8" x14ac:dyDescent="0.25">
      <c r="A21" s="25">
        <f>A20+1</f>
      </c>
      <c r="B21" s="19">
        <f>SUMIFS('03_FLUX'!$E$3:$E$502,'03_FLUX'!$A$3:$A$502,A21,'03_FLUX'!$B$3:$B$502,"Encaissement",'03_FLUX'!$F$3:$F$502,"Prévu")</f>
      </c>
      <c r="C21" s="19">
        <f>SUMIFS('03_FLUX'!$E$3:$E$502,'03_FLUX'!$A$3:$A$502,A21,'03_FLUX'!$B$3:$B$502,"Décaissement",'03_FLUX'!$F$3:$F$502,"Prévu")</f>
      </c>
      <c r="D21" s="19">
        <f>SUMIFS('03_FLUX'!$E$3:$E$502,'03_FLUX'!$A$3:$A$502,A21,'03_FLUX'!$B$3:$B$502,"Encaissement",'03_FLUX'!$F$3:$F$502,"Réalisé")</f>
      </c>
      <c r="E21" s="19">
        <f>SUMIFS('03_FLUX'!$E$3:$E$502,'03_FLUX'!$A$3:$A$502,A21,'03_FLUX'!$B$3:$B$502,"Décaissement",'03_FLUX'!$F$3:$F$502,"Réalisé")</f>
      </c>
      <c r="F21" s="19">
        <f>F20+D21-E21+B21-C21</f>
      </c>
      <c r="G21" s="19">
        <f>'02_PARAMETRES'!B8</f>
      </c>
      <c r="H21" s="8">
        <f>IF(F21&lt;G21,"ALERTE",IF(F21&lt;G21*1.2,"VIGILANCE","NORMAL"))</f>
      </c>
    </row>
    <row r="22" spans="1:8" x14ac:dyDescent="0.25">
      <c r="A22" s="25">
        <f>A21+1</f>
      </c>
      <c r="B22" s="19">
        <f>SUMIFS('03_FLUX'!$E$3:$E$502,'03_FLUX'!$A$3:$A$502,A22,'03_FLUX'!$B$3:$B$502,"Encaissement",'03_FLUX'!$F$3:$F$502,"Prévu")</f>
      </c>
      <c r="C22" s="19">
        <f>SUMIFS('03_FLUX'!$E$3:$E$502,'03_FLUX'!$A$3:$A$502,A22,'03_FLUX'!$B$3:$B$502,"Décaissement",'03_FLUX'!$F$3:$F$502,"Prévu")</f>
      </c>
      <c r="D22" s="19">
        <f>SUMIFS('03_FLUX'!$E$3:$E$502,'03_FLUX'!$A$3:$A$502,A22,'03_FLUX'!$B$3:$B$502,"Encaissement",'03_FLUX'!$F$3:$F$502,"Réalisé")</f>
      </c>
      <c r="E22" s="19">
        <f>SUMIFS('03_FLUX'!$E$3:$E$502,'03_FLUX'!$A$3:$A$502,A22,'03_FLUX'!$B$3:$B$502,"Décaissement",'03_FLUX'!$F$3:$F$502,"Réalisé")</f>
      </c>
      <c r="F22" s="19">
        <f>F21+D22-E22+B22-C22</f>
      </c>
      <c r="G22" s="19">
        <f>'02_PARAMETRES'!B8</f>
      </c>
      <c r="H22" s="8">
        <f>IF(F22&lt;G22,"ALERTE",IF(F22&lt;G22*1.2,"VIGILANCE","NORMAL"))</f>
      </c>
    </row>
    <row r="23" spans="1:8" x14ac:dyDescent="0.25">
      <c r="A23" s="25">
        <f>A22+1</f>
      </c>
      <c r="B23" s="19">
        <f>SUMIFS('03_FLUX'!$E$3:$E$502,'03_FLUX'!$A$3:$A$502,A23,'03_FLUX'!$B$3:$B$502,"Encaissement",'03_FLUX'!$F$3:$F$502,"Prévu")</f>
      </c>
      <c r="C23" s="19">
        <f>SUMIFS('03_FLUX'!$E$3:$E$502,'03_FLUX'!$A$3:$A$502,A23,'03_FLUX'!$B$3:$B$502,"Décaissement",'03_FLUX'!$F$3:$F$502,"Prévu")</f>
      </c>
      <c r="D23" s="19">
        <f>SUMIFS('03_FLUX'!$E$3:$E$502,'03_FLUX'!$A$3:$A$502,A23,'03_FLUX'!$B$3:$B$502,"Encaissement",'03_FLUX'!$F$3:$F$502,"Réalisé")</f>
      </c>
      <c r="E23" s="19">
        <f>SUMIFS('03_FLUX'!$E$3:$E$502,'03_FLUX'!$A$3:$A$502,A23,'03_FLUX'!$B$3:$B$502,"Décaissement",'03_FLUX'!$F$3:$F$502,"Réalisé")</f>
      </c>
      <c r="F23" s="19">
        <f>F22+D23-E23+B23-C23</f>
      </c>
      <c r="G23" s="19">
        <f>'02_PARAMETRES'!B8</f>
      </c>
      <c r="H23" s="8">
        <f>IF(F23&lt;G23,"ALERTE",IF(F23&lt;G23*1.2,"VIGILANCE","NORMAL"))</f>
      </c>
    </row>
    <row r="24" spans="1:8" x14ac:dyDescent="0.25">
      <c r="A24" s="25">
        <f>A23+1</f>
      </c>
      <c r="B24" s="19">
        <f>SUMIFS('03_FLUX'!$E$3:$E$502,'03_FLUX'!$A$3:$A$502,A24,'03_FLUX'!$B$3:$B$502,"Encaissement",'03_FLUX'!$F$3:$F$502,"Prévu")</f>
      </c>
      <c r="C24" s="19">
        <f>SUMIFS('03_FLUX'!$E$3:$E$502,'03_FLUX'!$A$3:$A$502,A24,'03_FLUX'!$B$3:$B$502,"Décaissement",'03_FLUX'!$F$3:$F$502,"Prévu")</f>
      </c>
      <c r="D24" s="19">
        <f>SUMIFS('03_FLUX'!$E$3:$E$502,'03_FLUX'!$A$3:$A$502,A24,'03_FLUX'!$B$3:$B$502,"Encaissement",'03_FLUX'!$F$3:$F$502,"Réalisé")</f>
      </c>
      <c r="E24" s="19">
        <f>SUMIFS('03_FLUX'!$E$3:$E$502,'03_FLUX'!$A$3:$A$502,A24,'03_FLUX'!$B$3:$B$502,"Décaissement",'03_FLUX'!$F$3:$F$502,"Réalisé")</f>
      </c>
      <c r="F24" s="19">
        <f>F23+D24-E24+B24-C24</f>
      </c>
      <c r="G24" s="19">
        <f>'02_PARAMETRES'!B8</f>
      </c>
      <c r="H24" s="8">
        <f>IF(F24&lt;G24,"ALERTE",IF(F24&lt;G24*1.2,"VIGILANCE","NORMAL"))</f>
      </c>
    </row>
    <row r="25" spans="1:8" x14ac:dyDescent="0.25">
      <c r="A25" s="25">
        <f>A24+1</f>
      </c>
      <c r="B25" s="19">
        <f>SUMIFS('03_FLUX'!$E$3:$E$502,'03_FLUX'!$A$3:$A$502,A25,'03_FLUX'!$B$3:$B$502,"Encaissement",'03_FLUX'!$F$3:$F$502,"Prévu")</f>
      </c>
      <c r="C25" s="19">
        <f>SUMIFS('03_FLUX'!$E$3:$E$502,'03_FLUX'!$A$3:$A$502,A25,'03_FLUX'!$B$3:$B$502,"Décaissement",'03_FLUX'!$F$3:$F$502,"Prévu")</f>
      </c>
      <c r="D25" s="19">
        <f>SUMIFS('03_FLUX'!$E$3:$E$502,'03_FLUX'!$A$3:$A$502,A25,'03_FLUX'!$B$3:$B$502,"Encaissement",'03_FLUX'!$F$3:$F$502,"Réalisé")</f>
      </c>
      <c r="E25" s="19">
        <f>SUMIFS('03_FLUX'!$E$3:$E$502,'03_FLUX'!$A$3:$A$502,A25,'03_FLUX'!$B$3:$B$502,"Décaissement",'03_FLUX'!$F$3:$F$502,"Réalisé")</f>
      </c>
      <c r="F25" s="19">
        <f>F24+D25-E25+B25-C25</f>
      </c>
      <c r="G25" s="19">
        <f>'02_PARAMETRES'!B8</f>
      </c>
      <c r="H25" s="8">
        <f>IF(F25&lt;G25,"ALERTE",IF(F25&lt;G25*1.2,"VIGILANCE","NORMAL"))</f>
      </c>
    </row>
    <row r="26" spans="1:8" x14ac:dyDescent="0.25">
      <c r="A26" s="25">
        <f>A25+1</f>
      </c>
      <c r="B26" s="19">
        <f>SUMIFS('03_FLUX'!$E$3:$E$502,'03_FLUX'!$A$3:$A$502,A26,'03_FLUX'!$B$3:$B$502,"Encaissement",'03_FLUX'!$F$3:$F$502,"Prévu")</f>
      </c>
      <c r="C26" s="19">
        <f>SUMIFS('03_FLUX'!$E$3:$E$502,'03_FLUX'!$A$3:$A$502,A26,'03_FLUX'!$B$3:$B$502,"Décaissement",'03_FLUX'!$F$3:$F$502,"Prévu")</f>
      </c>
      <c r="D26" s="19">
        <f>SUMIFS('03_FLUX'!$E$3:$E$502,'03_FLUX'!$A$3:$A$502,A26,'03_FLUX'!$B$3:$B$502,"Encaissement",'03_FLUX'!$F$3:$F$502,"Réalisé")</f>
      </c>
      <c r="E26" s="19">
        <f>SUMIFS('03_FLUX'!$E$3:$E$502,'03_FLUX'!$A$3:$A$502,A26,'03_FLUX'!$B$3:$B$502,"Décaissement",'03_FLUX'!$F$3:$F$502,"Réalisé")</f>
      </c>
      <c r="F26" s="19">
        <f>F25+D26-E26+B26-C26</f>
      </c>
      <c r="G26" s="19">
        <f>'02_PARAMETRES'!B8</f>
      </c>
      <c r="H26" s="8">
        <f>IF(F26&lt;G26,"ALERTE",IF(F26&lt;G26*1.2,"VIGILANCE","NORMAL"))</f>
      </c>
    </row>
    <row r="27" spans="1:8" x14ac:dyDescent="0.25">
      <c r="A27" s="25">
        <f>A26+1</f>
      </c>
      <c r="B27" s="19">
        <f>SUMIFS('03_FLUX'!$E$3:$E$502,'03_FLUX'!$A$3:$A$502,A27,'03_FLUX'!$B$3:$B$502,"Encaissement",'03_FLUX'!$F$3:$F$502,"Prévu")</f>
      </c>
      <c r="C27" s="19">
        <f>SUMIFS('03_FLUX'!$E$3:$E$502,'03_FLUX'!$A$3:$A$502,A27,'03_FLUX'!$B$3:$B$502,"Décaissement",'03_FLUX'!$F$3:$F$502,"Prévu")</f>
      </c>
      <c r="D27" s="19">
        <f>SUMIFS('03_FLUX'!$E$3:$E$502,'03_FLUX'!$A$3:$A$502,A27,'03_FLUX'!$B$3:$B$502,"Encaissement",'03_FLUX'!$F$3:$F$502,"Réalisé")</f>
      </c>
      <c r="E27" s="19">
        <f>SUMIFS('03_FLUX'!$E$3:$E$502,'03_FLUX'!$A$3:$A$502,A27,'03_FLUX'!$B$3:$B$502,"Décaissement",'03_FLUX'!$F$3:$F$502,"Réalisé")</f>
      </c>
      <c r="F27" s="19">
        <f>F26+D27-E27+B27-C27</f>
      </c>
      <c r="G27" s="19">
        <f>'02_PARAMETRES'!B8</f>
      </c>
      <c r="H27" s="8">
        <f>IF(F27&lt;G27,"ALERTE",IF(F27&lt;G27*1.2,"VIGILANCE","NORMAL"))</f>
      </c>
    </row>
    <row r="28" spans="1:8" x14ac:dyDescent="0.25">
      <c r="A28" s="25">
        <f>A27+1</f>
      </c>
      <c r="B28" s="19">
        <f>SUMIFS('03_FLUX'!$E$3:$E$502,'03_FLUX'!$A$3:$A$502,A28,'03_FLUX'!$B$3:$B$502,"Encaissement",'03_FLUX'!$F$3:$F$502,"Prévu")</f>
      </c>
      <c r="C28" s="19">
        <f>SUMIFS('03_FLUX'!$E$3:$E$502,'03_FLUX'!$A$3:$A$502,A28,'03_FLUX'!$B$3:$B$502,"Décaissement",'03_FLUX'!$F$3:$F$502,"Prévu")</f>
      </c>
      <c r="D28" s="19">
        <f>SUMIFS('03_FLUX'!$E$3:$E$502,'03_FLUX'!$A$3:$A$502,A28,'03_FLUX'!$B$3:$B$502,"Encaissement",'03_FLUX'!$F$3:$F$502,"Réalisé")</f>
      </c>
      <c r="E28" s="19">
        <f>SUMIFS('03_FLUX'!$E$3:$E$502,'03_FLUX'!$A$3:$A$502,A28,'03_FLUX'!$B$3:$B$502,"Décaissement",'03_FLUX'!$F$3:$F$502,"Réalisé")</f>
      </c>
      <c r="F28" s="19">
        <f>F27+D28-E28+B28-C28</f>
      </c>
      <c r="G28" s="19">
        <f>'02_PARAMETRES'!B8</f>
      </c>
      <c r="H28" s="8">
        <f>IF(F28&lt;G28,"ALERTE",IF(F28&lt;G28*1.2,"VIGILANCE","NORMAL"))</f>
      </c>
    </row>
    <row r="29" spans="1:8" x14ac:dyDescent="0.25">
      <c r="A29" s="25">
        <f>A28+1</f>
      </c>
      <c r="B29" s="19">
        <f>SUMIFS('03_FLUX'!$E$3:$E$502,'03_FLUX'!$A$3:$A$502,A29,'03_FLUX'!$B$3:$B$502,"Encaissement",'03_FLUX'!$F$3:$F$502,"Prévu")</f>
      </c>
      <c r="C29" s="19">
        <f>SUMIFS('03_FLUX'!$E$3:$E$502,'03_FLUX'!$A$3:$A$502,A29,'03_FLUX'!$B$3:$B$502,"Décaissement",'03_FLUX'!$F$3:$F$502,"Prévu")</f>
      </c>
      <c r="D29" s="19">
        <f>SUMIFS('03_FLUX'!$E$3:$E$502,'03_FLUX'!$A$3:$A$502,A29,'03_FLUX'!$B$3:$B$502,"Encaissement",'03_FLUX'!$F$3:$F$502,"Réalisé")</f>
      </c>
      <c r="E29" s="19">
        <f>SUMIFS('03_FLUX'!$E$3:$E$502,'03_FLUX'!$A$3:$A$502,A29,'03_FLUX'!$B$3:$B$502,"Décaissement",'03_FLUX'!$F$3:$F$502,"Réalisé")</f>
      </c>
      <c r="F29" s="19">
        <f>F28+D29-E29+B29-C29</f>
      </c>
      <c r="G29" s="19">
        <f>'02_PARAMETRES'!B8</f>
      </c>
      <c r="H29" s="8">
        <f>IF(F29&lt;G29,"ALERTE",IF(F29&lt;G29*1.2,"VIGILANCE","NORMAL"))</f>
      </c>
    </row>
    <row r="30" spans="1:8" x14ac:dyDescent="0.25">
      <c r="A30" s="25">
        <f>A29+1</f>
      </c>
      <c r="B30" s="19">
        <f>SUMIFS('03_FLUX'!$E$3:$E$502,'03_FLUX'!$A$3:$A$502,A30,'03_FLUX'!$B$3:$B$502,"Encaissement",'03_FLUX'!$F$3:$F$502,"Prévu")</f>
      </c>
      <c r="C30" s="19">
        <f>SUMIFS('03_FLUX'!$E$3:$E$502,'03_FLUX'!$A$3:$A$502,A30,'03_FLUX'!$B$3:$B$502,"Décaissement",'03_FLUX'!$F$3:$F$502,"Prévu")</f>
      </c>
      <c r="D30" s="19">
        <f>SUMIFS('03_FLUX'!$E$3:$E$502,'03_FLUX'!$A$3:$A$502,A30,'03_FLUX'!$B$3:$B$502,"Encaissement",'03_FLUX'!$F$3:$F$502,"Réalisé")</f>
      </c>
      <c r="E30" s="19">
        <f>SUMIFS('03_FLUX'!$E$3:$E$502,'03_FLUX'!$A$3:$A$502,A30,'03_FLUX'!$B$3:$B$502,"Décaissement",'03_FLUX'!$F$3:$F$502,"Réalisé")</f>
      </c>
      <c r="F30" s="19">
        <f>F29+D30-E30+B30-C30</f>
      </c>
      <c r="G30" s="19">
        <f>'02_PARAMETRES'!B8</f>
      </c>
      <c r="H30" s="8">
        <f>IF(F30&lt;G30,"ALERTE",IF(F30&lt;G30*1.2,"VIGILANCE","NORMAL"))</f>
      </c>
    </row>
    <row r="31" spans="1:8" x14ac:dyDescent="0.25">
      <c r="A31" s="25">
        <f>A30+1</f>
      </c>
      <c r="B31" s="19">
        <f>SUMIFS('03_FLUX'!$E$3:$E$502,'03_FLUX'!$A$3:$A$502,A31,'03_FLUX'!$B$3:$B$502,"Encaissement",'03_FLUX'!$F$3:$F$502,"Prévu")</f>
      </c>
      <c r="C31" s="19">
        <f>SUMIFS('03_FLUX'!$E$3:$E$502,'03_FLUX'!$A$3:$A$502,A31,'03_FLUX'!$B$3:$B$502,"Décaissement",'03_FLUX'!$F$3:$F$502,"Prévu")</f>
      </c>
      <c r="D31" s="19">
        <f>SUMIFS('03_FLUX'!$E$3:$E$502,'03_FLUX'!$A$3:$A$502,A31,'03_FLUX'!$B$3:$B$502,"Encaissement",'03_FLUX'!$F$3:$F$502,"Réalisé")</f>
      </c>
      <c r="E31" s="19">
        <f>SUMIFS('03_FLUX'!$E$3:$E$502,'03_FLUX'!$A$3:$A$502,A31,'03_FLUX'!$B$3:$B$502,"Décaissement",'03_FLUX'!$F$3:$F$502,"Réalisé")</f>
      </c>
      <c r="F31" s="19">
        <f>F30+D31-E31+B31-C31</f>
      </c>
      <c r="G31" s="19">
        <f>'02_PARAMETRES'!B8</f>
      </c>
      <c r="H31" s="8">
        <f>IF(F31&lt;G31,"ALERTE",IF(F31&lt;G31*1.2,"VIGILANCE","NORMAL"))</f>
      </c>
    </row>
    <row r="32" spans="1:8" x14ac:dyDescent="0.25">
      <c r="A32" s="25">
        <f>A31+1</f>
      </c>
      <c r="B32" s="19">
        <f>SUMIFS('03_FLUX'!$E$3:$E$502,'03_FLUX'!$A$3:$A$502,A32,'03_FLUX'!$B$3:$B$502,"Encaissement",'03_FLUX'!$F$3:$F$502,"Prévu")</f>
      </c>
      <c r="C32" s="19">
        <f>SUMIFS('03_FLUX'!$E$3:$E$502,'03_FLUX'!$A$3:$A$502,A32,'03_FLUX'!$B$3:$B$502,"Décaissement",'03_FLUX'!$F$3:$F$502,"Prévu")</f>
      </c>
      <c r="D32" s="19">
        <f>SUMIFS('03_FLUX'!$E$3:$E$502,'03_FLUX'!$A$3:$A$502,A32,'03_FLUX'!$B$3:$B$502,"Encaissement",'03_FLUX'!$F$3:$F$502,"Réalisé")</f>
      </c>
      <c r="E32" s="19">
        <f>SUMIFS('03_FLUX'!$E$3:$E$502,'03_FLUX'!$A$3:$A$502,A32,'03_FLUX'!$B$3:$B$502,"Décaissement",'03_FLUX'!$F$3:$F$502,"Réalisé")</f>
      </c>
      <c r="F32" s="19">
        <f>F31+D32-E32+B32-C32</f>
      </c>
      <c r="G32" s="19">
        <f>'02_PARAMETRES'!B8</f>
      </c>
      <c r="H32" s="8">
        <f>IF(F32&lt;G32,"ALERTE",IF(F32&lt;G32*1.2,"VIGILANCE","NORMAL"))</f>
      </c>
    </row>
    <row r="33" spans="1:8" x14ac:dyDescent="0.25">
      <c r="A33" s="25">
        <f>A32+1</f>
      </c>
      <c r="B33" s="19">
        <f>SUMIFS('03_FLUX'!$E$3:$E$502,'03_FLUX'!$A$3:$A$502,A33,'03_FLUX'!$B$3:$B$502,"Encaissement",'03_FLUX'!$F$3:$F$502,"Prévu")</f>
      </c>
      <c r="C33" s="19">
        <f>SUMIFS('03_FLUX'!$E$3:$E$502,'03_FLUX'!$A$3:$A$502,A33,'03_FLUX'!$B$3:$B$502,"Décaissement",'03_FLUX'!$F$3:$F$502,"Prévu")</f>
      </c>
      <c r="D33" s="19">
        <f>SUMIFS('03_FLUX'!$E$3:$E$502,'03_FLUX'!$A$3:$A$502,A33,'03_FLUX'!$B$3:$B$502,"Encaissement",'03_FLUX'!$F$3:$F$502,"Réalisé")</f>
      </c>
      <c r="E33" s="19">
        <f>SUMIFS('03_FLUX'!$E$3:$E$502,'03_FLUX'!$A$3:$A$502,A33,'03_FLUX'!$B$3:$B$502,"Décaissement",'03_FLUX'!$F$3:$F$502,"Réalisé")</f>
      </c>
      <c r="F33" s="19">
        <f>F32+D33-E33+B33-C33</f>
      </c>
      <c r="G33" s="19">
        <f>'02_PARAMETRES'!B8</f>
      </c>
      <c r="H33" s="8">
        <f>IF(F33&lt;G33,"ALERTE",IF(F33&lt;G33*1.2,"VIGILANCE","NORMAL"))</f>
      </c>
    </row>
    <row r="34" spans="1:8" x14ac:dyDescent="0.25">
      <c r="A34" s="25">
        <f>A33+1</f>
      </c>
      <c r="B34" s="19">
        <f>SUMIFS('03_FLUX'!$E$3:$E$502,'03_FLUX'!$A$3:$A$502,A34,'03_FLUX'!$B$3:$B$502,"Encaissement",'03_FLUX'!$F$3:$F$502,"Prévu")</f>
      </c>
      <c r="C34" s="19">
        <f>SUMIFS('03_FLUX'!$E$3:$E$502,'03_FLUX'!$A$3:$A$502,A34,'03_FLUX'!$B$3:$B$502,"Décaissement",'03_FLUX'!$F$3:$F$502,"Prévu")</f>
      </c>
      <c r="D34" s="19">
        <f>SUMIFS('03_FLUX'!$E$3:$E$502,'03_FLUX'!$A$3:$A$502,A34,'03_FLUX'!$B$3:$B$502,"Encaissement",'03_FLUX'!$F$3:$F$502,"Réalisé")</f>
      </c>
      <c r="E34" s="19">
        <f>SUMIFS('03_FLUX'!$E$3:$E$502,'03_FLUX'!$A$3:$A$502,A34,'03_FLUX'!$B$3:$B$502,"Décaissement",'03_FLUX'!$F$3:$F$502,"Réalisé")</f>
      </c>
      <c r="F34" s="19">
        <f>F33+D34-E34+B34-C34</f>
      </c>
      <c r="G34" s="19">
        <f>'02_PARAMETRES'!B8</f>
      </c>
      <c r="H34" s="8">
        <f>IF(F34&lt;G34,"ALERTE",IF(F34&lt;G34*1.2,"VIGILANCE","NORMAL"))</f>
      </c>
    </row>
    <row r="35" spans="1:8" x14ac:dyDescent="0.25">
      <c r="A35" s="25">
        <f>A34+1</f>
      </c>
      <c r="B35" s="19">
        <f>SUMIFS('03_FLUX'!$E$3:$E$502,'03_FLUX'!$A$3:$A$502,A35,'03_FLUX'!$B$3:$B$502,"Encaissement",'03_FLUX'!$F$3:$F$502,"Prévu")</f>
      </c>
      <c r="C35" s="19">
        <f>SUMIFS('03_FLUX'!$E$3:$E$502,'03_FLUX'!$A$3:$A$502,A35,'03_FLUX'!$B$3:$B$502,"Décaissement",'03_FLUX'!$F$3:$F$502,"Prévu")</f>
      </c>
      <c r="D35" s="19">
        <f>SUMIFS('03_FLUX'!$E$3:$E$502,'03_FLUX'!$A$3:$A$502,A35,'03_FLUX'!$B$3:$B$502,"Encaissement",'03_FLUX'!$F$3:$F$502,"Réalisé")</f>
      </c>
      <c r="E35" s="19">
        <f>SUMIFS('03_FLUX'!$E$3:$E$502,'03_FLUX'!$A$3:$A$502,A35,'03_FLUX'!$B$3:$B$502,"Décaissement",'03_FLUX'!$F$3:$F$502,"Réalisé")</f>
      </c>
      <c r="F35" s="19">
        <f>F34+D35-E35+B35-C35</f>
      </c>
      <c r="G35" s="19">
        <f>'02_PARAMETRES'!B8</f>
      </c>
      <c r="H35" s="8">
        <f>IF(F35&lt;G35,"ALERTE",IF(F35&lt;G35*1.2,"VIGILANCE","NORMAL"))</f>
      </c>
    </row>
    <row r="36" spans="1:8" x14ac:dyDescent="0.25">
      <c r="A36" s="25">
        <f>A35+1</f>
      </c>
      <c r="B36" s="19">
        <f>SUMIFS('03_FLUX'!$E$3:$E$502,'03_FLUX'!$A$3:$A$502,A36,'03_FLUX'!$B$3:$B$502,"Encaissement",'03_FLUX'!$F$3:$F$502,"Prévu")</f>
      </c>
      <c r="C36" s="19">
        <f>SUMIFS('03_FLUX'!$E$3:$E$502,'03_FLUX'!$A$3:$A$502,A36,'03_FLUX'!$B$3:$B$502,"Décaissement",'03_FLUX'!$F$3:$F$502,"Prévu")</f>
      </c>
      <c r="D36" s="19">
        <f>SUMIFS('03_FLUX'!$E$3:$E$502,'03_FLUX'!$A$3:$A$502,A36,'03_FLUX'!$B$3:$B$502,"Encaissement",'03_FLUX'!$F$3:$F$502,"Réalisé")</f>
      </c>
      <c r="E36" s="19">
        <f>SUMIFS('03_FLUX'!$E$3:$E$502,'03_FLUX'!$A$3:$A$502,A36,'03_FLUX'!$B$3:$B$502,"Décaissement",'03_FLUX'!$F$3:$F$502,"Réalisé")</f>
      </c>
      <c r="F36" s="19">
        <f>F35+D36-E36+B36-C36</f>
      </c>
      <c r="G36" s="19">
        <f>'02_PARAMETRES'!B8</f>
      </c>
      <c r="H36" s="8">
        <f>IF(F36&lt;G36,"ALERTE",IF(F36&lt;G36*1.2,"VIGILANCE","NORMAL"))</f>
      </c>
    </row>
    <row r="37" spans="1:8" x14ac:dyDescent="0.25">
      <c r="A37" s="25">
        <f>A36+1</f>
      </c>
      <c r="B37" s="19">
        <f>SUMIFS('03_FLUX'!$E$3:$E$502,'03_FLUX'!$A$3:$A$502,A37,'03_FLUX'!$B$3:$B$502,"Encaissement",'03_FLUX'!$F$3:$F$502,"Prévu")</f>
      </c>
      <c r="C37" s="19">
        <f>SUMIFS('03_FLUX'!$E$3:$E$502,'03_FLUX'!$A$3:$A$502,A37,'03_FLUX'!$B$3:$B$502,"Décaissement",'03_FLUX'!$F$3:$F$502,"Prévu")</f>
      </c>
      <c r="D37" s="19">
        <f>SUMIFS('03_FLUX'!$E$3:$E$502,'03_FLUX'!$A$3:$A$502,A37,'03_FLUX'!$B$3:$B$502,"Encaissement",'03_FLUX'!$F$3:$F$502,"Réalisé")</f>
      </c>
      <c r="E37" s="19">
        <f>SUMIFS('03_FLUX'!$E$3:$E$502,'03_FLUX'!$A$3:$A$502,A37,'03_FLUX'!$B$3:$B$502,"Décaissement",'03_FLUX'!$F$3:$F$502,"Réalisé")</f>
      </c>
      <c r="F37" s="19">
        <f>F36+D37-E37+B37-C37</f>
      </c>
      <c r="G37" s="19">
        <f>'02_PARAMETRES'!B8</f>
      </c>
      <c r="H37" s="8">
        <f>IF(F37&lt;G37,"ALERTE",IF(F37&lt;G37*1.2,"VIGILANCE","NORMAL"))</f>
      </c>
    </row>
    <row r="38" spans="1:8" x14ac:dyDescent="0.25">
      <c r="A38" s="25">
        <f>A37+1</f>
      </c>
      <c r="B38" s="19">
        <f>SUMIFS('03_FLUX'!$E$3:$E$502,'03_FLUX'!$A$3:$A$502,A38,'03_FLUX'!$B$3:$B$502,"Encaissement",'03_FLUX'!$F$3:$F$502,"Prévu")</f>
      </c>
      <c r="C38" s="19">
        <f>SUMIFS('03_FLUX'!$E$3:$E$502,'03_FLUX'!$A$3:$A$502,A38,'03_FLUX'!$B$3:$B$502,"Décaissement",'03_FLUX'!$F$3:$F$502,"Prévu")</f>
      </c>
      <c r="D38" s="19">
        <f>SUMIFS('03_FLUX'!$E$3:$E$502,'03_FLUX'!$A$3:$A$502,A38,'03_FLUX'!$B$3:$B$502,"Encaissement",'03_FLUX'!$F$3:$F$502,"Réalisé")</f>
      </c>
      <c r="E38" s="19">
        <f>SUMIFS('03_FLUX'!$E$3:$E$502,'03_FLUX'!$A$3:$A$502,A38,'03_FLUX'!$B$3:$B$502,"Décaissement",'03_FLUX'!$F$3:$F$502,"Réalisé")</f>
      </c>
      <c r="F38" s="19">
        <f>F37+D38-E38+B38-C38</f>
      </c>
      <c r="G38" s="19">
        <f>'02_PARAMETRES'!B8</f>
      </c>
      <c r="H38" s="8">
        <f>IF(F38&lt;G38,"ALERTE",IF(F38&lt;G38*1.2,"VIGILANCE","NORMAL"))</f>
      </c>
    </row>
    <row r="39" spans="1:8" x14ac:dyDescent="0.25">
      <c r="A39" s="25">
        <f>A38+1</f>
      </c>
      <c r="B39" s="19">
        <f>SUMIFS('03_FLUX'!$E$3:$E$502,'03_FLUX'!$A$3:$A$502,A39,'03_FLUX'!$B$3:$B$502,"Encaissement",'03_FLUX'!$F$3:$F$502,"Prévu")</f>
      </c>
      <c r="C39" s="19">
        <f>SUMIFS('03_FLUX'!$E$3:$E$502,'03_FLUX'!$A$3:$A$502,A39,'03_FLUX'!$B$3:$B$502,"Décaissement",'03_FLUX'!$F$3:$F$502,"Prévu")</f>
      </c>
      <c r="D39" s="19">
        <f>SUMIFS('03_FLUX'!$E$3:$E$502,'03_FLUX'!$A$3:$A$502,A39,'03_FLUX'!$B$3:$B$502,"Encaissement",'03_FLUX'!$F$3:$F$502,"Réalisé")</f>
      </c>
      <c r="E39" s="19">
        <f>SUMIFS('03_FLUX'!$E$3:$E$502,'03_FLUX'!$A$3:$A$502,A39,'03_FLUX'!$B$3:$B$502,"Décaissement",'03_FLUX'!$F$3:$F$502,"Réalisé")</f>
      </c>
      <c r="F39" s="19">
        <f>F38+D39-E39+B39-C39</f>
      </c>
      <c r="G39" s="19">
        <f>'02_PARAMETRES'!B8</f>
      </c>
      <c r="H39" s="8">
        <f>IF(F39&lt;G39,"ALERTE",IF(F39&lt;G39*1.2,"VIGILANCE","NORMAL"))</f>
      </c>
    </row>
    <row r="40" spans="1:8" x14ac:dyDescent="0.25">
      <c r="A40" s="25">
        <f>A39+1</f>
      </c>
      <c r="B40" s="19">
        <f>SUMIFS('03_FLUX'!$E$3:$E$502,'03_FLUX'!$A$3:$A$502,A40,'03_FLUX'!$B$3:$B$502,"Encaissement",'03_FLUX'!$F$3:$F$502,"Prévu")</f>
      </c>
      <c r="C40" s="19">
        <f>SUMIFS('03_FLUX'!$E$3:$E$502,'03_FLUX'!$A$3:$A$502,A40,'03_FLUX'!$B$3:$B$502,"Décaissement",'03_FLUX'!$F$3:$F$502,"Prévu")</f>
      </c>
      <c r="D40" s="19">
        <f>SUMIFS('03_FLUX'!$E$3:$E$502,'03_FLUX'!$A$3:$A$502,A40,'03_FLUX'!$B$3:$B$502,"Encaissement",'03_FLUX'!$F$3:$F$502,"Réalisé")</f>
      </c>
      <c r="E40" s="19">
        <f>SUMIFS('03_FLUX'!$E$3:$E$502,'03_FLUX'!$A$3:$A$502,A40,'03_FLUX'!$B$3:$B$502,"Décaissement",'03_FLUX'!$F$3:$F$502,"Réalisé")</f>
      </c>
      <c r="F40" s="19">
        <f>F39+D40-E40+B40-C40</f>
      </c>
      <c r="G40" s="19">
        <f>'02_PARAMETRES'!B8</f>
      </c>
      <c r="H40" s="8">
        <f>IF(F40&lt;G40,"ALERTE",IF(F40&lt;G40*1.2,"VIGILANCE","NORMAL"))</f>
      </c>
    </row>
    <row r="41" spans="1:8" x14ac:dyDescent="0.25">
      <c r="A41" s="25">
        <f>A40+1</f>
      </c>
      <c r="B41" s="19">
        <f>SUMIFS('03_FLUX'!$E$3:$E$502,'03_FLUX'!$A$3:$A$502,A41,'03_FLUX'!$B$3:$B$502,"Encaissement",'03_FLUX'!$F$3:$F$502,"Prévu")</f>
      </c>
      <c r="C41" s="19">
        <f>SUMIFS('03_FLUX'!$E$3:$E$502,'03_FLUX'!$A$3:$A$502,A41,'03_FLUX'!$B$3:$B$502,"Décaissement",'03_FLUX'!$F$3:$F$502,"Prévu")</f>
      </c>
      <c r="D41" s="19">
        <f>SUMIFS('03_FLUX'!$E$3:$E$502,'03_FLUX'!$A$3:$A$502,A41,'03_FLUX'!$B$3:$B$502,"Encaissement",'03_FLUX'!$F$3:$F$502,"Réalisé")</f>
      </c>
      <c r="E41" s="19">
        <f>SUMIFS('03_FLUX'!$E$3:$E$502,'03_FLUX'!$A$3:$A$502,A41,'03_FLUX'!$B$3:$B$502,"Décaissement",'03_FLUX'!$F$3:$F$502,"Réalisé")</f>
      </c>
      <c r="F41" s="19">
        <f>F40+D41-E41+B41-C41</f>
      </c>
      <c r="G41" s="19">
        <f>'02_PARAMETRES'!B8</f>
      </c>
      <c r="H41" s="8">
        <f>IF(F41&lt;G41,"ALERTE",IF(F41&lt;G41*1.2,"VIGILANCE","NORMAL"))</f>
      </c>
    </row>
    <row r="42" spans="1:8" x14ac:dyDescent="0.25">
      <c r="A42" s="25">
        <f>A41+1</f>
      </c>
      <c r="B42" s="19">
        <f>SUMIFS('03_FLUX'!$E$3:$E$502,'03_FLUX'!$A$3:$A$502,A42,'03_FLUX'!$B$3:$B$502,"Encaissement",'03_FLUX'!$F$3:$F$502,"Prévu")</f>
      </c>
      <c r="C42" s="19">
        <f>SUMIFS('03_FLUX'!$E$3:$E$502,'03_FLUX'!$A$3:$A$502,A42,'03_FLUX'!$B$3:$B$502,"Décaissement",'03_FLUX'!$F$3:$F$502,"Prévu")</f>
      </c>
      <c r="D42" s="19">
        <f>SUMIFS('03_FLUX'!$E$3:$E$502,'03_FLUX'!$A$3:$A$502,A42,'03_FLUX'!$B$3:$B$502,"Encaissement",'03_FLUX'!$F$3:$F$502,"Réalisé")</f>
      </c>
      <c r="E42" s="19">
        <f>SUMIFS('03_FLUX'!$E$3:$E$502,'03_FLUX'!$A$3:$A$502,A42,'03_FLUX'!$B$3:$B$502,"Décaissement",'03_FLUX'!$F$3:$F$502,"Réalisé")</f>
      </c>
      <c r="F42" s="19">
        <f>F41+D42-E42+B42-C42</f>
      </c>
      <c r="G42" s="19">
        <f>'02_PARAMETRES'!B8</f>
      </c>
      <c r="H42" s="8">
        <f>IF(F42&lt;G42,"ALERTE",IF(F42&lt;G42*1.2,"VIGILANCE","NORMAL"))</f>
      </c>
    </row>
    <row r="43" spans="1:8" x14ac:dyDescent="0.25">
      <c r="A43" s="25">
        <f>A42+1</f>
      </c>
      <c r="B43" s="19">
        <f>SUMIFS('03_FLUX'!$E$3:$E$502,'03_FLUX'!$A$3:$A$502,A43,'03_FLUX'!$B$3:$B$502,"Encaissement",'03_FLUX'!$F$3:$F$502,"Prévu")</f>
      </c>
      <c r="C43" s="19">
        <f>SUMIFS('03_FLUX'!$E$3:$E$502,'03_FLUX'!$A$3:$A$502,A43,'03_FLUX'!$B$3:$B$502,"Décaissement",'03_FLUX'!$F$3:$F$502,"Prévu")</f>
      </c>
      <c r="D43" s="19">
        <f>SUMIFS('03_FLUX'!$E$3:$E$502,'03_FLUX'!$A$3:$A$502,A43,'03_FLUX'!$B$3:$B$502,"Encaissement",'03_FLUX'!$F$3:$F$502,"Réalisé")</f>
      </c>
      <c r="E43" s="19">
        <f>SUMIFS('03_FLUX'!$E$3:$E$502,'03_FLUX'!$A$3:$A$502,A43,'03_FLUX'!$B$3:$B$502,"Décaissement",'03_FLUX'!$F$3:$F$502,"Réalisé")</f>
      </c>
      <c r="F43" s="19">
        <f>F42+D43-E43+B43-C43</f>
      </c>
      <c r="G43" s="19">
        <f>'02_PARAMETRES'!B8</f>
      </c>
      <c r="H43" s="8">
        <f>IF(F43&lt;G43,"ALERTE",IF(F43&lt;G43*1.2,"VIGILANCE","NORMAL"))</f>
      </c>
    </row>
    <row r="44" spans="1:8" x14ac:dyDescent="0.25">
      <c r="A44" s="25">
        <f>A43+1</f>
      </c>
      <c r="B44" s="19">
        <f>SUMIFS('03_FLUX'!$E$3:$E$502,'03_FLUX'!$A$3:$A$502,A44,'03_FLUX'!$B$3:$B$502,"Encaissement",'03_FLUX'!$F$3:$F$502,"Prévu")</f>
      </c>
      <c r="C44" s="19">
        <f>SUMIFS('03_FLUX'!$E$3:$E$502,'03_FLUX'!$A$3:$A$502,A44,'03_FLUX'!$B$3:$B$502,"Décaissement",'03_FLUX'!$F$3:$F$502,"Prévu")</f>
      </c>
      <c r="D44" s="19">
        <f>SUMIFS('03_FLUX'!$E$3:$E$502,'03_FLUX'!$A$3:$A$502,A44,'03_FLUX'!$B$3:$B$502,"Encaissement",'03_FLUX'!$F$3:$F$502,"Réalisé")</f>
      </c>
      <c r="E44" s="19">
        <f>SUMIFS('03_FLUX'!$E$3:$E$502,'03_FLUX'!$A$3:$A$502,A44,'03_FLUX'!$B$3:$B$502,"Décaissement",'03_FLUX'!$F$3:$F$502,"Réalisé")</f>
      </c>
      <c r="F44" s="19">
        <f>F43+D44-E44+B44-C44</f>
      </c>
      <c r="G44" s="19">
        <f>'02_PARAMETRES'!B8</f>
      </c>
      <c r="H44" s="8">
        <f>IF(F44&lt;G44,"ALERTE",IF(F44&lt;G44*1.2,"VIGILANCE","NORMAL"))</f>
      </c>
    </row>
    <row r="45" spans="1:8" x14ac:dyDescent="0.25">
      <c r="A45" s="25">
        <f>A44+1</f>
      </c>
      <c r="B45" s="19">
        <f>SUMIFS('03_FLUX'!$E$3:$E$502,'03_FLUX'!$A$3:$A$502,A45,'03_FLUX'!$B$3:$B$502,"Encaissement",'03_FLUX'!$F$3:$F$502,"Prévu")</f>
      </c>
      <c r="C45" s="19">
        <f>SUMIFS('03_FLUX'!$E$3:$E$502,'03_FLUX'!$A$3:$A$502,A45,'03_FLUX'!$B$3:$B$502,"Décaissement",'03_FLUX'!$F$3:$F$502,"Prévu")</f>
      </c>
      <c r="D45" s="19">
        <f>SUMIFS('03_FLUX'!$E$3:$E$502,'03_FLUX'!$A$3:$A$502,A45,'03_FLUX'!$B$3:$B$502,"Encaissement",'03_FLUX'!$F$3:$F$502,"Réalisé")</f>
      </c>
      <c r="E45" s="19">
        <f>SUMIFS('03_FLUX'!$E$3:$E$502,'03_FLUX'!$A$3:$A$502,A45,'03_FLUX'!$B$3:$B$502,"Décaissement",'03_FLUX'!$F$3:$F$502,"Réalisé")</f>
      </c>
      <c r="F45" s="19">
        <f>F44+D45-E45+B45-C45</f>
      </c>
      <c r="G45" s="19">
        <f>'02_PARAMETRES'!B8</f>
      </c>
      <c r="H45" s="8">
        <f>IF(F45&lt;G45,"ALERTE",IF(F45&lt;G45*1.2,"VIGILANCE","NORMAL"))</f>
      </c>
    </row>
    <row r="46" spans="1:8" x14ac:dyDescent="0.25">
      <c r="A46" s="25">
        <f>A45+1</f>
      </c>
      <c r="B46" s="19">
        <f>SUMIFS('03_FLUX'!$E$3:$E$502,'03_FLUX'!$A$3:$A$502,A46,'03_FLUX'!$B$3:$B$502,"Encaissement",'03_FLUX'!$F$3:$F$502,"Prévu")</f>
      </c>
      <c r="C46" s="19">
        <f>SUMIFS('03_FLUX'!$E$3:$E$502,'03_FLUX'!$A$3:$A$502,A46,'03_FLUX'!$B$3:$B$502,"Décaissement",'03_FLUX'!$F$3:$F$502,"Prévu")</f>
      </c>
      <c r="D46" s="19">
        <f>SUMIFS('03_FLUX'!$E$3:$E$502,'03_FLUX'!$A$3:$A$502,A46,'03_FLUX'!$B$3:$B$502,"Encaissement",'03_FLUX'!$F$3:$F$502,"Réalisé")</f>
      </c>
      <c r="E46" s="19">
        <f>SUMIFS('03_FLUX'!$E$3:$E$502,'03_FLUX'!$A$3:$A$502,A46,'03_FLUX'!$B$3:$B$502,"Décaissement",'03_FLUX'!$F$3:$F$502,"Réalisé")</f>
      </c>
      <c r="F46" s="19">
        <f>F45+D46-E46+B46-C46</f>
      </c>
      <c r="G46" s="19">
        <f>'02_PARAMETRES'!B8</f>
      </c>
      <c r="H46" s="8">
        <f>IF(F46&lt;G46,"ALERTE",IF(F46&lt;G46*1.2,"VIGILANCE","NORMAL"))</f>
      </c>
    </row>
    <row r="47" spans="1:8" x14ac:dyDescent="0.25">
      <c r="A47" s="25">
        <f>A46+1</f>
      </c>
      <c r="B47" s="19">
        <f>SUMIFS('03_FLUX'!$E$3:$E$502,'03_FLUX'!$A$3:$A$502,A47,'03_FLUX'!$B$3:$B$502,"Encaissement",'03_FLUX'!$F$3:$F$502,"Prévu")</f>
      </c>
      <c r="C47" s="19">
        <f>SUMIFS('03_FLUX'!$E$3:$E$502,'03_FLUX'!$A$3:$A$502,A47,'03_FLUX'!$B$3:$B$502,"Décaissement",'03_FLUX'!$F$3:$F$502,"Prévu")</f>
      </c>
      <c r="D47" s="19">
        <f>SUMIFS('03_FLUX'!$E$3:$E$502,'03_FLUX'!$A$3:$A$502,A47,'03_FLUX'!$B$3:$B$502,"Encaissement",'03_FLUX'!$F$3:$F$502,"Réalisé")</f>
      </c>
      <c r="E47" s="19">
        <f>SUMIFS('03_FLUX'!$E$3:$E$502,'03_FLUX'!$A$3:$A$502,A47,'03_FLUX'!$B$3:$B$502,"Décaissement",'03_FLUX'!$F$3:$F$502,"Réalisé")</f>
      </c>
      <c r="F47" s="19">
        <f>F46+D47-E47+B47-C47</f>
      </c>
      <c r="G47" s="19">
        <f>'02_PARAMETRES'!B8</f>
      </c>
      <c r="H47" s="8">
        <f>IF(F47&lt;G47,"ALERTE",IF(F47&lt;G47*1.2,"VIGILANCE","NORMAL"))</f>
      </c>
    </row>
    <row r="48" spans="1:8" x14ac:dyDescent="0.25">
      <c r="A48" s="25">
        <f>A47+1</f>
      </c>
      <c r="B48" s="19">
        <f>SUMIFS('03_FLUX'!$E$3:$E$502,'03_FLUX'!$A$3:$A$502,A48,'03_FLUX'!$B$3:$B$502,"Encaissement",'03_FLUX'!$F$3:$F$502,"Prévu")</f>
      </c>
      <c r="C48" s="19">
        <f>SUMIFS('03_FLUX'!$E$3:$E$502,'03_FLUX'!$A$3:$A$502,A48,'03_FLUX'!$B$3:$B$502,"Décaissement",'03_FLUX'!$F$3:$F$502,"Prévu")</f>
      </c>
      <c r="D48" s="19">
        <f>SUMIFS('03_FLUX'!$E$3:$E$502,'03_FLUX'!$A$3:$A$502,A48,'03_FLUX'!$B$3:$B$502,"Encaissement",'03_FLUX'!$F$3:$F$502,"Réalisé")</f>
      </c>
      <c r="E48" s="19">
        <f>SUMIFS('03_FLUX'!$E$3:$E$502,'03_FLUX'!$A$3:$A$502,A48,'03_FLUX'!$B$3:$B$502,"Décaissement",'03_FLUX'!$F$3:$F$502,"Réalisé")</f>
      </c>
      <c r="F48" s="19">
        <f>F47+D48-E48+B48-C48</f>
      </c>
      <c r="G48" s="19">
        <f>'02_PARAMETRES'!B8</f>
      </c>
      <c r="H48" s="8">
        <f>IF(F48&lt;G48,"ALERTE",IF(F48&lt;G48*1.2,"VIGILANCE","NORMAL"))</f>
      </c>
    </row>
    <row r="49" spans="1:8" x14ac:dyDescent="0.25">
      <c r="A49" s="25">
        <f>A48+1</f>
      </c>
      <c r="B49" s="19">
        <f>SUMIFS('03_FLUX'!$E$3:$E$502,'03_FLUX'!$A$3:$A$502,A49,'03_FLUX'!$B$3:$B$502,"Encaissement",'03_FLUX'!$F$3:$F$502,"Prévu")</f>
      </c>
      <c r="C49" s="19">
        <f>SUMIFS('03_FLUX'!$E$3:$E$502,'03_FLUX'!$A$3:$A$502,A49,'03_FLUX'!$B$3:$B$502,"Décaissement",'03_FLUX'!$F$3:$F$502,"Prévu")</f>
      </c>
      <c r="D49" s="19">
        <f>SUMIFS('03_FLUX'!$E$3:$E$502,'03_FLUX'!$A$3:$A$502,A49,'03_FLUX'!$B$3:$B$502,"Encaissement",'03_FLUX'!$F$3:$F$502,"Réalisé")</f>
      </c>
      <c r="E49" s="19">
        <f>SUMIFS('03_FLUX'!$E$3:$E$502,'03_FLUX'!$A$3:$A$502,A49,'03_FLUX'!$B$3:$B$502,"Décaissement",'03_FLUX'!$F$3:$F$502,"Réalisé")</f>
      </c>
      <c r="F49" s="19">
        <f>F48+D49-E49+B49-C49</f>
      </c>
      <c r="G49" s="19">
        <f>'02_PARAMETRES'!B8</f>
      </c>
      <c r="H49" s="8">
        <f>IF(F49&lt;G49,"ALERTE",IF(F49&lt;G49*1.2,"VIGILANCE","NORMAL"))</f>
      </c>
    </row>
    <row r="50" spans="1:8" x14ac:dyDescent="0.25">
      <c r="A50" s="25">
        <f>A49+1</f>
      </c>
      <c r="B50" s="19">
        <f>SUMIFS('03_FLUX'!$E$3:$E$502,'03_FLUX'!$A$3:$A$502,A50,'03_FLUX'!$B$3:$B$502,"Encaissement",'03_FLUX'!$F$3:$F$502,"Prévu")</f>
      </c>
      <c r="C50" s="19">
        <f>SUMIFS('03_FLUX'!$E$3:$E$502,'03_FLUX'!$A$3:$A$502,A50,'03_FLUX'!$B$3:$B$502,"Décaissement",'03_FLUX'!$F$3:$F$502,"Prévu")</f>
      </c>
      <c r="D50" s="19">
        <f>SUMIFS('03_FLUX'!$E$3:$E$502,'03_FLUX'!$A$3:$A$502,A50,'03_FLUX'!$B$3:$B$502,"Encaissement",'03_FLUX'!$F$3:$F$502,"Réalisé")</f>
      </c>
      <c r="E50" s="19">
        <f>SUMIFS('03_FLUX'!$E$3:$E$502,'03_FLUX'!$A$3:$A$502,A50,'03_FLUX'!$B$3:$B$502,"Décaissement",'03_FLUX'!$F$3:$F$502,"Réalisé")</f>
      </c>
      <c r="F50" s="19">
        <f>F49+D50-E50+B50-C50</f>
      </c>
      <c r="G50" s="19">
        <f>'02_PARAMETRES'!B8</f>
      </c>
      <c r="H50" s="8">
        <f>IF(F50&lt;G50,"ALERTE",IF(F50&lt;G50*1.2,"VIGILANCE","NORMAL"))</f>
      </c>
    </row>
    <row r="51" spans="1:8" x14ac:dyDescent="0.25">
      <c r="A51" s="25">
        <f>A50+1</f>
      </c>
      <c r="B51" s="19">
        <f>SUMIFS('03_FLUX'!$E$3:$E$502,'03_FLUX'!$A$3:$A$502,A51,'03_FLUX'!$B$3:$B$502,"Encaissement",'03_FLUX'!$F$3:$F$502,"Prévu")</f>
      </c>
      <c r="C51" s="19">
        <f>SUMIFS('03_FLUX'!$E$3:$E$502,'03_FLUX'!$A$3:$A$502,A51,'03_FLUX'!$B$3:$B$502,"Décaissement",'03_FLUX'!$F$3:$F$502,"Prévu")</f>
      </c>
      <c r="D51" s="19">
        <f>SUMIFS('03_FLUX'!$E$3:$E$502,'03_FLUX'!$A$3:$A$502,A51,'03_FLUX'!$B$3:$B$502,"Encaissement",'03_FLUX'!$F$3:$F$502,"Réalisé")</f>
      </c>
      <c r="E51" s="19">
        <f>SUMIFS('03_FLUX'!$E$3:$E$502,'03_FLUX'!$A$3:$A$502,A51,'03_FLUX'!$B$3:$B$502,"Décaissement",'03_FLUX'!$F$3:$F$502,"Réalisé")</f>
      </c>
      <c r="F51" s="19">
        <f>F50+D51-E51+B51-C51</f>
      </c>
      <c r="G51" s="19">
        <f>'02_PARAMETRES'!B8</f>
      </c>
      <c r="H51" s="8">
        <f>IF(F51&lt;G51,"ALERTE",IF(F51&lt;G51*1.2,"VIGILANCE","NORMAL"))</f>
      </c>
    </row>
    <row r="52" spans="1:8" x14ac:dyDescent="0.25">
      <c r="A52" s="25">
        <f>A51+1</f>
      </c>
      <c r="B52" s="19">
        <f>SUMIFS('03_FLUX'!$E$3:$E$502,'03_FLUX'!$A$3:$A$502,A52,'03_FLUX'!$B$3:$B$502,"Encaissement",'03_FLUX'!$F$3:$F$502,"Prévu")</f>
      </c>
      <c r="C52" s="19">
        <f>SUMIFS('03_FLUX'!$E$3:$E$502,'03_FLUX'!$A$3:$A$502,A52,'03_FLUX'!$B$3:$B$502,"Décaissement",'03_FLUX'!$F$3:$F$502,"Prévu")</f>
      </c>
      <c r="D52" s="19">
        <f>SUMIFS('03_FLUX'!$E$3:$E$502,'03_FLUX'!$A$3:$A$502,A52,'03_FLUX'!$B$3:$B$502,"Encaissement",'03_FLUX'!$F$3:$F$502,"Réalisé")</f>
      </c>
      <c r="E52" s="19">
        <f>SUMIFS('03_FLUX'!$E$3:$E$502,'03_FLUX'!$A$3:$A$502,A52,'03_FLUX'!$B$3:$B$502,"Décaissement",'03_FLUX'!$F$3:$F$502,"Réalisé")</f>
      </c>
      <c r="F52" s="19">
        <f>F51+D52-E52+B52-C52</f>
      </c>
      <c r="G52" s="19">
        <f>'02_PARAMETRES'!B8</f>
      </c>
      <c r="H52" s="8">
        <f>IF(F52&lt;G52,"ALERTE",IF(F52&lt;G52*1.2,"VIGILANCE","NORMAL"))</f>
      </c>
    </row>
    <row r="53" spans="1:8" x14ac:dyDescent="0.25">
      <c r="A53" s="25">
        <f>A52+1</f>
      </c>
      <c r="B53" s="19">
        <f>SUMIFS('03_FLUX'!$E$3:$E$502,'03_FLUX'!$A$3:$A$502,A53,'03_FLUX'!$B$3:$B$502,"Encaissement",'03_FLUX'!$F$3:$F$502,"Prévu")</f>
      </c>
      <c r="C53" s="19">
        <f>SUMIFS('03_FLUX'!$E$3:$E$502,'03_FLUX'!$A$3:$A$502,A53,'03_FLUX'!$B$3:$B$502,"Décaissement",'03_FLUX'!$F$3:$F$502,"Prévu")</f>
      </c>
      <c r="D53" s="19">
        <f>SUMIFS('03_FLUX'!$E$3:$E$502,'03_FLUX'!$A$3:$A$502,A53,'03_FLUX'!$B$3:$B$502,"Encaissement",'03_FLUX'!$F$3:$F$502,"Réalisé")</f>
      </c>
      <c r="E53" s="19">
        <f>SUMIFS('03_FLUX'!$E$3:$E$502,'03_FLUX'!$A$3:$A$502,A53,'03_FLUX'!$B$3:$B$502,"Décaissement",'03_FLUX'!$F$3:$F$502,"Réalisé")</f>
      </c>
      <c r="F53" s="19">
        <f>F52+D53-E53+B53-C53</f>
      </c>
      <c r="G53" s="19">
        <f>'02_PARAMETRES'!B8</f>
      </c>
      <c r="H53" s="8">
        <f>IF(F53&lt;G53,"ALERTE",IF(F53&lt;G53*1.2,"VIGILANCE","NORMAL"))</f>
      </c>
    </row>
    <row r="54" spans="1:8" x14ac:dyDescent="0.25">
      <c r="A54" s="25">
        <f>A53+1</f>
      </c>
      <c r="B54" s="19">
        <f>SUMIFS('03_FLUX'!$E$3:$E$502,'03_FLUX'!$A$3:$A$502,A54,'03_FLUX'!$B$3:$B$502,"Encaissement",'03_FLUX'!$F$3:$F$502,"Prévu")</f>
      </c>
      <c r="C54" s="19">
        <f>SUMIFS('03_FLUX'!$E$3:$E$502,'03_FLUX'!$A$3:$A$502,A54,'03_FLUX'!$B$3:$B$502,"Décaissement",'03_FLUX'!$F$3:$F$502,"Prévu")</f>
      </c>
      <c r="D54" s="19">
        <f>SUMIFS('03_FLUX'!$E$3:$E$502,'03_FLUX'!$A$3:$A$502,A54,'03_FLUX'!$B$3:$B$502,"Encaissement",'03_FLUX'!$F$3:$F$502,"Réalisé")</f>
      </c>
      <c r="E54" s="19">
        <f>SUMIFS('03_FLUX'!$E$3:$E$502,'03_FLUX'!$A$3:$A$502,A54,'03_FLUX'!$B$3:$B$502,"Décaissement",'03_FLUX'!$F$3:$F$502,"Réalisé")</f>
      </c>
      <c r="F54" s="19">
        <f>F53+D54-E54+B54-C54</f>
      </c>
      <c r="G54" s="19">
        <f>'02_PARAMETRES'!B8</f>
      </c>
      <c r="H54" s="8">
        <f>IF(F54&lt;G54,"ALERTE",IF(F54&lt;G54*1.2,"VIGILANCE","NORMAL"))</f>
      </c>
    </row>
    <row r="55" spans="1:8" x14ac:dyDescent="0.25">
      <c r="A55" s="25">
        <f>A54+1</f>
      </c>
      <c r="B55" s="19">
        <f>SUMIFS('03_FLUX'!$E$3:$E$502,'03_FLUX'!$A$3:$A$502,A55,'03_FLUX'!$B$3:$B$502,"Encaissement",'03_FLUX'!$F$3:$F$502,"Prévu")</f>
      </c>
      <c r="C55" s="19">
        <f>SUMIFS('03_FLUX'!$E$3:$E$502,'03_FLUX'!$A$3:$A$502,A55,'03_FLUX'!$B$3:$B$502,"Décaissement",'03_FLUX'!$F$3:$F$502,"Prévu")</f>
      </c>
      <c r="D55" s="19">
        <f>SUMIFS('03_FLUX'!$E$3:$E$502,'03_FLUX'!$A$3:$A$502,A55,'03_FLUX'!$B$3:$B$502,"Encaissement",'03_FLUX'!$F$3:$F$502,"Réalisé")</f>
      </c>
      <c r="E55" s="19">
        <f>SUMIFS('03_FLUX'!$E$3:$E$502,'03_FLUX'!$A$3:$A$502,A55,'03_FLUX'!$B$3:$B$502,"Décaissement",'03_FLUX'!$F$3:$F$502,"Réalisé")</f>
      </c>
      <c r="F55" s="19">
        <f>F54+D55-E55+B55-C55</f>
      </c>
      <c r="G55" s="19">
        <f>'02_PARAMETRES'!B8</f>
      </c>
      <c r="H55" s="8">
        <f>IF(F55&lt;G55,"ALERTE",IF(F55&lt;G55*1.2,"VIGILANCE","NORMAL"))</f>
      </c>
    </row>
    <row r="56" spans="1:8" x14ac:dyDescent="0.25">
      <c r="A56" s="25">
        <f>A55+1</f>
      </c>
      <c r="B56" s="19">
        <f>SUMIFS('03_FLUX'!$E$3:$E$502,'03_FLUX'!$A$3:$A$502,A56,'03_FLUX'!$B$3:$B$502,"Encaissement",'03_FLUX'!$F$3:$F$502,"Prévu")</f>
      </c>
      <c r="C56" s="19">
        <f>SUMIFS('03_FLUX'!$E$3:$E$502,'03_FLUX'!$A$3:$A$502,A56,'03_FLUX'!$B$3:$B$502,"Décaissement",'03_FLUX'!$F$3:$F$502,"Prévu")</f>
      </c>
      <c r="D56" s="19">
        <f>SUMIFS('03_FLUX'!$E$3:$E$502,'03_FLUX'!$A$3:$A$502,A56,'03_FLUX'!$B$3:$B$502,"Encaissement",'03_FLUX'!$F$3:$F$502,"Réalisé")</f>
      </c>
      <c r="E56" s="19">
        <f>SUMIFS('03_FLUX'!$E$3:$E$502,'03_FLUX'!$A$3:$A$502,A56,'03_FLUX'!$B$3:$B$502,"Décaissement",'03_FLUX'!$F$3:$F$502,"Réalisé")</f>
      </c>
      <c r="F56" s="19">
        <f>F55+D56-E56+B56-C56</f>
      </c>
      <c r="G56" s="19">
        <f>'02_PARAMETRES'!B8</f>
      </c>
      <c r="H56" s="8">
        <f>IF(F56&lt;G56,"ALERTE",IF(F56&lt;G56*1.2,"VIGILANCE","NORMAL"))</f>
      </c>
    </row>
    <row r="57" spans="1:8" x14ac:dyDescent="0.25">
      <c r="A57" s="25">
        <f>A56+1</f>
      </c>
      <c r="B57" s="19">
        <f>SUMIFS('03_FLUX'!$E$3:$E$502,'03_FLUX'!$A$3:$A$502,A57,'03_FLUX'!$B$3:$B$502,"Encaissement",'03_FLUX'!$F$3:$F$502,"Prévu")</f>
      </c>
      <c r="C57" s="19">
        <f>SUMIFS('03_FLUX'!$E$3:$E$502,'03_FLUX'!$A$3:$A$502,A57,'03_FLUX'!$B$3:$B$502,"Décaissement",'03_FLUX'!$F$3:$F$502,"Prévu")</f>
      </c>
      <c r="D57" s="19">
        <f>SUMIFS('03_FLUX'!$E$3:$E$502,'03_FLUX'!$A$3:$A$502,A57,'03_FLUX'!$B$3:$B$502,"Encaissement",'03_FLUX'!$F$3:$F$502,"Réalisé")</f>
      </c>
      <c r="E57" s="19">
        <f>SUMIFS('03_FLUX'!$E$3:$E$502,'03_FLUX'!$A$3:$A$502,A57,'03_FLUX'!$B$3:$B$502,"Décaissement",'03_FLUX'!$F$3:$F$502,"Réalisé")</f>
      </c>
      <c r="F57" s="19">
        <f>F56+D57-E57+B57-C57</f>
      </c>
      <c r="G57" s="19">
        <f>'02_PARAMETRES'!B8</f>
      </c>
      <c r="H57" s="8">
        <f>IF(F57&lt;G57,"ALERTE",IF(F57&lt;G57*1.2,"VIGILANCE","NORMAL"))</f>
      </c>
    </row>
    <row r="58" spans="1:8" x14ac:dyDescent="0.25">
      <c r="A58" s="25">
        <f>A57+1</f>
      </c>
      <c r="B58" s="19">
        <f>SUMIFS('03_FLUX'!$E$3:$E$502,'03_FLUX'!$A$3:$A$502,A58,'03_FLUX'!$B$3:$B$502,"Encaissement",'03_FLUX'!$F$3:$F$502,"Prévu")</f>
      </c>
      <c r="C58" s="19">
        <f>SUMIFS('03_FLUX'!$E$3:$E$502,'03_FLUX'!$A$3:$A$502,A58,'03_FLUX'!$B$3:$B$502,"Décaissement",'03_FLUX'!$F$3:$F$502,"Prévu")</f>
      </c>
      <c r="D58" s="19">
        <f>SUMIFS('03_FLUX'!$E$3:$E$502,'03_FLUX'!$A$3:$A$502,A58,'03_FLUX'!$B$3:$B$502,"Encaissement",'03_FLUX'!$F$3:$F$502,"Réalisé")</f>
      </c>
      <c r="E58" s="19">
        <f>SUMIFS('03_FLUX'!$E$3:$E$502,'03_FLUX'!$A$3:$A$502,A58,'03_FLUX'!$B$3:$B$502,"Décaissement",'03_FLUX'!$F$3:$F$502,"Réalisé")</f>
      </c>
      <c r="F58" s="19">
        <f>F57+D58-E58+B58-C58</f>
      </c>
      <c r="G58" s="19">
        <f>'02_PARAMETRES'!B8</f>
      </c>
      <c r="H58" s="8">
        <f>IF(F58&lt;G58,"ALERTE",IF(F58&lt;G58*1.2,"VIGILANCE","NORMAL"))</f>
      </c>
    </row>
    <row r="59" spans="1:8" x14ac:dyDescent="0.25">
      <c r="A59" s="25">
        <f>A58+1</f>
      </c>
      <c r="B59" s="19">
        <f>SUMIFS('03_FLUX'!$E$3:$E$502,'03_FLUX'!$A$3:$A$502,A59,'03_FLUX'!$B$3:$B$502,"Encaissement",'03_FLUX'!$F$3:$F$502,"Prévu")</f>
      </c>
      <c r="C59" s="19">
        <f>SUMIFS('03_FLUX'!$E$3:$E$502,'03_FLUX'!$A$3:$A$502,A59,'03_FLUX'!$B$3:$B$502,"Décaissement",'03_FLUX'!$F$3:$F$502,"Prévu")</f>
      </c>
      <c r="D59" s="19">
        <f>SUMIFS('03_FLUX'!$E$3:$E$502,'03_FLUX'!$A$3:$A$502,A59,'03_FLUX'!$B$3:$B$502,"Encaissement",'03_FLUX'!$F$3:$F$502,"Réalisé")</f>
      </c>
      <c r="E59" s="19">
        <f>SUMIFS('03_FLUX'!$E$3:$E$502,'03_FLUX'!$A$3:$A$502,A59,'03_FLUX'!$B$3:$B$502,"Décaissement",'03_FLUX'!$F$3:$F$502,"Réalisé")</f>
      </c>
      <c r="F59" s="19">
        <f>F58+D59-E59+B59-C59</f>
      </c>
      <c r="G59" s="19">
        <f>'02_PARAMETRES'!B8</f>
      </c>
      <c r="H59" s="8">
        <f>IF(F59&lt;G59,"ALERTE",IF(F59&lt;G59*1.2,"VIGILANCE","NORMAL"))</f>
      </c>
    </row>
    <row r="60" spans="1:8" x14ac:dyDescent="0.25">
      <c r="A60" s="25">
        <f>A59+1</f>
      </c>
      <c r="B60" s="19">
        <f>SUMIFS('03_FLUX'!$E$3:$E$502,'03_FLUX'!$A$3:$A$502,A60,'03_FLUX'!$B$3:$B$502,"Encaissement",'03_FLUX'!$F$3:$F$502,"Prévu")</f>
      </c>
      <c r="C60" s="19">
        <f>SUMIFS('03_FLUX'!$E$3:$E$502,'03_FLUX'!$A$3:$A$502,A60,'03_FLUX'!$B$3:$B$502,"Décaissement",'03_FLUX'!$F$3:$F$502,"Prévu")</f>
      </c>
      <c r="D60" s="19">
        <f>SUMIFS('03_FLUX'!$E$3:$E$502,'03_FLUX'!$A$3:$A$502,A60,'03_FLUX'!$B$3:$B$502,"Encaissement",'03_FLUX'!$F$3:$F$502,"Réalisé")</f>
      </c>
      <c r="E60" s="19">
        <f>SUMIFS('03_FLUX'!$E$3:$E$502,'03_FLUX'!$A$3:$A$502,A60,'03_FLUX'!$B$3:$B$502,"Décaissement",'03_FLUX'!$F$3:$F$502,"Réalisé")</f>
      </c>
      <c r="F60" s="19">
        <f>F59+D60-E60+B60-C60</f>
      </c>
      <c r="G60" s="19">
        <f>'02_PARAMETRES'!B8</f>
      </c>
      <c r="H60" s="8">
        <f>IF(F60&lt;G60,"ALERTE",IF(F60&lt;G60*1.2,"VIGILANCE","NORMAL"))</f>
      </c>
    </row>
    <row r="61" spans="1:8" x14ac:dyDescent="0.25">
      <c r="A61" s="25">
        <f>A60+1</f>
      </c>
      <c r="B61" s="19">
        <f>SUMIFS('03_FLUX'!$E$3:$E$502,'03_FLUX'!$A$3:$A$502,A61,'03_FLUX'!$B$3:$B$502,"Encaissement",'03_FLUX'!$F$3:$F$502,"Prévu")</f>
      </c>
      <c r="C61" s="19">
        <f>SUMIFS('03_FLUX'!$E$3:$E$502,'03_FLUX'!$A$3:$A$502,A61,'03_FLUX'!$B$3:$B$502,"Décaissement",'03_FLUX'!$F$3:$F$502,"Prévu")</f>
      </c>
      <c r="D61" s="19">
        <f>SUMIFS('03_FLUX'!$E$3:$E$502,'03_FLUX'!$A$3:$A$502,A61,'03_FLUX'!$B$3:$B$502,"Encaissement",'03_FLUX'!$F$3:$F$502,"Réalisé")</f>
      </c>
      <c r="E61" s="19">
        <f>SUMIFS('03_FLUX'!$E$3:$E$502,'03_FLUX'!$A$3:$A$502,A61,'03_FLUX'!$B$3:$B$502,"Décaissement",'03_FLUX'!$F$3:$F$502,"Réalisé")</f>
      </c>
      <c r="F61" s="19">
        <f>F60+D61-E61+B61-C61</f>
      </c>
      <c r="G61" s="19">
        <f>'02_PARAMETRES'!B8</f>
      </c>
      <c r="H61" s="8">
        <f>IF(F61&lt;G61,"ALERTE",IF(F61&lt;G61*1.2,"VIGILANCE","NORMAL"))</f>
      </c>
    </row>
    <row r="62" spans="1:8" x14ac:dyDescent="0.25">
      <c r="A62" s="25">
        <f>A61+1</f>
      </c>
      <c r="B62" s="19">
        <f>SUMIFS('03_FLUX'!$E$3:$E$502,'03_FLUX'!$A$3:$A$502,A62,'03_FLUX'!$B$3:$B$502,"Encaissement",'03_FLUX'!$F$3:$F$502,"Prévu")</f>
      </c>
      <c r="C62" s="19">
        <f>SUMIFS('03_FLUX'!$E$3:$E$502,'03_FLUX'!$A$3:$A$502,A62,'03_FLUX'!$B$3:$B$502,"Décaissement",'03_FLUX'!$F$3:$F$502,"Prévu")</f>
      </c>
      <c r="D62" s="19">
        <f>SUMIFS('03_FLUX'!$E$3:$E$502,'03_FLUX'!$A$3:$A$502,A62,'03_FLUX'!$B$3:$B$502,"Encaissement",'03_FLUX'!$F$3:$F$502,"Réalisé")</f>
      </c>
      <c r="E62" s="19">
        <f>SUMIFS('03_FLUX'!$E$3:$E$502,'03_FLUX'!$A$3:$A$502,A62,'03_FLUX'!$B$3:$B$502,"Décaissement",'03_FLUX'!$F$3:$F$502,"Réalisé")</f>
      </c>
      <c r="F62" s="19">
        <f>F61+D62-E62+B62-C62</f>
      </c>
      <c r="G62" s="19">
        <f>'02_PARAMETRES'!B8</f>
      </c>
      <c r="H62" s="8">
        <f>IF(F62&lt;G62,"ALERTE",IF(F62&lt;G62*1.2,"VIGILANCE","NORMAL"))</f>
      </c>
    </row>
    <row r="63" spans="1:8" x14ac:dyDescent="0.25">
      <c r="A63" s="25">
        <f>A62+1</f>
      </c>
      <c r="B63" s="19">
        <f>SUMIFS('03_FLUX'!$E$3:$E$502,'03_FLUX'!$A$3:$A$502,A63,'03_FLUX'!$B$3:$B$502,"Encaissement",'03_FLUX'!$F$3:$F$502,"Prévu")</f>
      </c>
      <c r="C63" s="19">
        <f>SUMIFS('03_FLUX'!$E$3:$E$502,'03_FLUX'!$A$3:$A$502,A63,'03_FLUX'!$B$3:$B$502,"Décaissement",'03_FLUX'!$F$3:$F$502,"Prévu")</f>
      </c>
      <c r="D63" s="19">
        <f>SUMIFS('03_FLUX'!$E$3:$E$502,'03_FLUX'!$A$3:$A$502,A63,'03_FLUX'!$B$3:$B$502,"Encaissement",'03_FLUX'!$F$3:$F$502,"Réalisé")</f>
      </c>
      <c r="E63" s="19">
        <f>SUMIFS('03_FLUX'!$E$3:$E$502,'03_FLUX'!$A$3:$A$502,A63,'03_FLUX'!$B$3:$B$502,"Décaissement",'03_FLUX'!$F$3:$F$502,"Réalisé")</f>
      </c>
      <c r="F63" s="19">
        <f>F62+D63-E63+B63-C63</f>
      </c>
      <c r="G63" s="19">
        <f>'02_PARAMETRES'!B8</f>
      </c>
      <c r="H63" s="8">
        <f>IF(F63&lt;G63,"ALERTE",IF(F63&lt;G63*1.2,"VIGILANCE","NORMAL"))</f>
      </c>
    </row>
    <row r="64" spans="1:8" x14ac:dyDescent="0.25">
      <c r="A64" s="25">
        <f>A63+1</f>
      </c>
      <c r="B64" s="19">
        <f>SUMIFS('03_FLUX'!$E$3:$E$502,'03_FLUX'!$A$3:$A$502,A64,'03_FLUX'!$B$3:$B$502,"Encaissement",'03_FLUX'!$F$3:$F$502,"Prévu")</f>
      </c>
      <c r="C64" s="19">
        <f>SUMIFS('03_FLUX'!$E$3:$E$502,'03_FLUX'!$A$3:$A$502,A64,'03_FLUX'!$B$3:$B$502,"Décaissement",'03_FLUX'!$F$3:$F$502,"Prévu")</f>
      </c>
      <c r="D64" s="19">
        <f>SUMIFS('03_FLUX'!$E$3:$E$502,'03_FLUX'!$A$3:$A$502,A64,'03_FLUX'!$B$3:$B$502,"Encaissement",'03_FLUX'!$F$3:$F$502,"Réalisé")</f>
      </c>
      <c r="E64" s="19">
        <f>SUMIFS('03_FLUX'!$E$3:$E$502,'03_FLUX'!$A$3:$A$502,A64,'03_FLUX'!$B$3:$B$502,"Décaissement",'03_FLUX'!$F$3:$F$502,"Réalisé")</f>
      </c>
      <c r="F64" s="19">
        <f>F63+D64-E64+B64-C64</f>
      </c>
      <c r="G64" s="19">
        <f>'02_PARAMETRES'!B8</f>
      </c>
      <c r="H64" s="8">
        <f>IF(F64&lt;G64,"ALERTE",IF(F64&lt;G64*1.2,"VIGILANCE","NORMAL"))</f>
      </c>
    </row>
    <row r="65" spans="1:8" x14ac:dyDescent="0.25">
      <c r="A65" s="25">
        <f>A64+1</f>
      </c>
      <c r="B65" s="19">
        <f>SUMIFS('03_FLUX'!$E$3:$E$502,'03_FLUX'!$A$3:$A$502,A65,'03_FLUX'!$B$3:$B$502,"Encaissement",'03_FLUX'!$F$3:$F$502,"Prévu")</f>
      </c>
      <c r="C65" s="19">
        <f>SUMIFS('03_FLUX'!$E$3:$E$502,'03_FLUX'!$A$3:$A$502,A65,'03_FLUX'!$B$3:$B$502,"Décaissement",'03_FLUX'!$F$3:$F$502,"Prévu")</f>
      </c>
      <c r="D65" s="19">
        <f>SUMIFS('03_FLUX'!$E$3:$E$502,'03_FLUX'!$A$3:$A$502,A65,'03_FLUX'!$B$3:$B$502,"Encaissement",'03_FLUX'!$F$3:$F$502,"Réalisé")</f>
      </c>
      <c r="E65" s="19">
        <f>SUMIFS('03_FLUX'!$E$3:$E$502,'03_FLUX'!$A$3:$A$502,A65,'03_FLUX'!$B$3:$B$502,"Décaissement",'03_FLUX'!$F$3:$F$502,"Réalisé")</f>
      </c>
      <c r="F65" s="19">
        <f>F64+D65-E65+B65-C65</f>
      </c>
      <c r="G65" s="19">
        <f>'02_PARAMETRES'!B8</f>
      </c>
      <c r="H65" s="8">
        <f>IF(F65&lt;G65,"ALERTE",IF(F65&lt;G65*1.2,"VIGILANCE","NORMAL"))</f>
      </c>
    </row>
    <row r="66" spans="1:8" x14ac:dyDescent="0.25">
      <c r="A66" s="25">
        <f>A65+1</f>
      </c>
      <c r="B66" s="19">
        <f>SUMIFS('03_FLUX'!$E$3:$E$502,'03_FLUX'!$A$3:$A$502,A66,'03_FLUX'!$B$3:$B$502,"Encaissement",'03_FLUX'!$F$3:$F$502,"Prévu")</f>
      </c>
      <c r="C66" s="19">
        <f>SUMIFS('03_FLUX'!$E$3:$E$502,'03_FLUX'!$A$3:$A$502,A66,'03_FLUX'!$B$3:$B$502,"Décaissement",'03_FLUX'!$F$3:$F$502,"Prévu")</f>
      </c>
      <c r="D66" s="19">
        <f>SUMIFS('03_FLUX'!$E$3:$E$502,'03_FLUX'!$A$3:$A$502,A66,'03_FLUX'!$B$3:$B$502,"Encaissement",'03_FLUX'!$F$3:$F$502,"Réalisé")</f>
      </c>
      <c r="E66" s="19">
        <f>SUMIFS('03_FLUX'!$E$3:$E$502,'03_FLUX'!$A$3:$A$502,A66,'03_FLUX'!$B$3:$B$502,"Décaissement",'03_FLUX'!$F$3:$F$502,"Réalisé")</f>
      </c>
      <c r="F66" s="19">
        <f>F65+D66-E66+B66-C66</f>
      </c>
      <c r="G66" s="19">
        <f>'02_PARAMETRES'!B8</f>
      </c>
      <c r="H66" s="8">
        <f>IF(F66&lt;G66,"ALERTE",IF(F66&lt;G66*1.2,"VIGILANCE","NORMAL"))</f>
      </c>
    </row>
    <row r="67" spans="1:8" x14ac:dyDescent="0.25">
      <c r="A67" s="25">
        <f>A66+1</f>
      </c>
      <c r="B67" s="19">
        <f>SUMIFS('03_FLUX'!$E$3:$E$502,'03_FLUX'!$A$3:$A$502,A67,'03_FLUX'!$B$3:$B$502,"Encaissement",'03_FLUX'!$F$3:$F$502,"Prévu")</f>
      </c>
      <c r="C67" s="19">
        <f>SUMIFS('03_FLUX'!$E$3:$E$502,'03_FLUX'!$A$3:$A$502,A67,'03_FLUX'!$B$3:$B$502,"Décaissement",'03_FLUX'!$F$3:$F$502,"Prévu")</f>
      </c>
      <c r="D67" s="19">
        <f>SUMIFS('03_FLUX'!$E$3:$E$502,'03_FLUX'!$A$3:$A$502,A67,'03_FLUX'!$B$3:$B$502,"Encaissement",'03_FLUX'!$F$3:$F$502,"Réalisé")</f>
      </c>
      <c r="E67" s="19">
        <f>SUMIFS('03_FLUX'!$E$3:$E$502,'03_FLUX'!$A$3:$A$502,A67,'03_FLUX'!$B$3:$B$502,"Décaissement",'03_FLUX'!$F$3:$F$502,"Réalisé")</f>
      </c>
      <c r="F67" s="19">
        <f>F66+D67-E67+B67-C67</f>
      </c>
      <c r="G67" s="19">
        <f>'02_PARAMETRES'!B8</f>
      </c>
      <c r="H67" s="8">
        <f>IF(F67&lt;G67,"ALERTE",IF(F67&lt;G67*1.2,"VIGILANCE","NORMAL"))</f>
      </c>
    </row>
    <row r="68" spans="1:8" x14ac:dyDescent="0.25">
      <c r="A68" s="25">
        <f>A67+1</f>
      </c>
      <c r="B68" s="19">
        <f>SUMIFS('03_FLUX'!$E$3:$E$502,'03_FLUX'!$A$3:$A$502,A68,'03_FLUX'!$B$3:$B$502,"Encaissement",'03_FLUX'!$F$3:$F$502,"Prévu")</f>
      </c>
      <c r="C68" s="19">
        <f>SUMIFS('03_FLUX'!$E$3:$E$502,'03_FLUX'!$A$3:$A$502,A68,'03_FLUX'!$B$3:$B$502,"Décaissement",'03_FLUX'!$F$3:$F$502,"Prévu")</f>
      </c>
      <c r="D68" s="19">
        <f>SUMIFS('03_FLUX'!$E$3:$E$502,'03_FLUX'!$A$3:$A$502,A68,'03_FLUX'!$B$3:$B$502,"Encaissement",'03_FLUX'!$F$3:$F$502,"Réalisé")</f>
      </c>
      <c r="E68" s="19">
        <f>SUMIFS('03_FLUX'!$E$3:$E$502,'03_FLUX'!$A$3:$A$502,A68,'03_FLUX'!$B$3:$B$502,"Décaissement",'03_FLUX'!$F$3:$F$502,"Réalisé")</f>
      </c>
      <c r="F68" s="19">
        <f>F67+D68-E68+B68-C68</f>
      </c>
      <c r="G68" s="19">
        <f>'02_PARAMETRES'!B8</f>
      </c>
      <c r="H68" s="8">
        <f>IF(F68&lt;G68,"ALERTE",IF(F68&lt;G68*1.2,"VIGILANCE","NORMAL"))</f>
      </c>
    </row>
    <row r="69" spans="1:8" x14ac:dyDescent="0.25">
      <c r="A69" s="25">
        <f>A68+1</f>
      </c>
      <c r="B69" s="19">
        <f>SUMIFS('03_FLUX'!$E$3:$E$502,'03_FLUX'!$A$3:$A$502,A69,'03_FLUX'!$B$3:$B$502,"Encaissement",'03_FLUX'!$F$3:$F$502,"Prévu")</f>
      </c>
      <c r="C69" s="19">
        <f>SUMIFS('03_FLUX'!$E$3:$E$502,'03_FLUX'!$A$3:$A$502,A69,'03_FLUX'!$B$3:$B$502,"Décaissement",'03_FLUX'!$F$3:$F$502,"Prévu")</f>
      </c>
      <c r="D69" s="19">
        <f>SUMIFS('03_FLUX'!$E$3:$E$502,'03_FLUX'!$A$3:$A$502,A69,'03_FLUX'!$B$3:$B$502,"Encaissement",'03_FLUX'!$F$3:$F$502,"Réalisé")</f>
      </c>
      <c r="E69" s="19">
        <f>SUMIFS('03_FLUX'!$E$3:$E$502,'03_FLUX'!$A$3:$A$502,A69,'03_FLUX'!$B$3:$B$502,"Décaissement",'03_FLUX'!$F$3:$F$502,"Réalisé")</f>
      </c>
      <c r="F69" s="19">
        <f>F68+D69-E69+B69-C69</f>
      </c>
      <c r="G69" s="19">
        <f>'02_PARAMETRES'!B8</f>
      </c>
      <c r="H69" s="8">
        <f>IF(F69&lt;G69,"ALERTE",IF(F69&lt;G69*1.2,"VIGILANCE","NORMAL"))</f>
      </c>
    </row>
    <row r="70" spans="1:8" x14ac:dyDescent="0.25">
      <c r="A70" s="25">
        <f>A69+1</f>
      </c>
      <c r="B70" s="19">
        <f>SUMIFS('03_FLUX'!$E$3:$E$502,'03_FLUX'!$A$3:$A$502,A70,'03_FLUX'!$B$3:$B$502,"Encaissement",'03_FLUX'!$F$3:$F$502,"Prévu")</f>
      </c>
      <c r="C70" s="19">
        <f>SUMIFS('03_FLUX'!$E$3:$E$502,'03_FLUX'!$A$3:$A$502,A70,'03_FLUX'!$B$3:$B$502,"Décaissement",'03_FLUX'!$F$3:$F$502,"Prévu")</f>
      </c>
      <c r="D70" s="19">
        <f>SUMIFS('03_FLUX'!$E$3:$E$502,'03_FLUX'!$A$3:$A$502,A70,'03_FLUX'!$B$3:$B$502,"Encaissement",'03_FLUX'!$F$3:$F$502,"Réalisé")</f>
      </c>
      <c r="E70" s="19">
        <f>SUMIFS('03_FLUX'!$E$3:$E$502,'03_FLUX'!$A$3:$A$502,A70,'03_FLUX'!$B$3:$B$502,"Décaissement",'03_FLUX'!$F$3:$F$502,"Réalisé")</f>
      </c>
      <c r="F70" s="19">
        <f>F69+D70-E70+B70-C70</f>
      </c>
      <c r="G70" s="19">
        <f>'02_PARAMETRES'!B8</f>
      </c>
      <c r="H70" s="8">
        <f>IF(F70&lt;G70,"ALERTE",IF(F70&lt;G70*1.2,"VIGILANCE","NORMAL"))</f>
      </c>
    </row>
    <row r="71" spans="1:8" x14ac:dyDescent="0.25">
      <c r="A71" s="25">
        <f>A70+1</f>
      </c>
      <c r="B71" s="19">
        <f>SUMIFS('03_FLUX'!$E$3:$E$502,'03_FLUX'!$A$3:$A$502,A71,'03_FLUX'!$B$3:$B$502,"Encaissement",'03_FLUX'!$F$3:$F$502,"Prévu")</f>
      </c>
      <c r="C71" s="19">
        <f>SUMIFS('03_FLUX'!$E$3:$E$502,'03_FLUX'!$A$3:$A$502,A71,'03_FLUX'!$B$3:$B$502,"Décaissement",'03_FLUX'!$F$3:$F$502,"Prévu")</f>
      </c>
      <c r="D71" s="19">
        <f>SUMIFS('03_FLUX'!$E$3:$E$502,'03_FLUX'!$A$3:$A$502,A71,'03_FLUX'!$B$3:$B$502,"Encaissement",'03_FLUX'!$F$3:$F$502,"Réalisé")</f>
      </c>
      <c r="E71" s="19">
        <f>SUMIFS('03_FLUX'!$E$3:$E$502,'03_FLUX'!$A$3:$A$502,A71,'03_FLUX'!$B$3:$B$502,"Décaissement",'03_FLUX'!$F$3:$F$502,"Réalisé")</f>
      </c>
      <c r="F71" s="19">
        <f>F70+D71-E71+B71-C71</f>
      </c>
      <c r="G71" s="19">
        <f>'02_PARAMETRES'!B8</f>
      </c>
      <c r="H71" s="8">
        <f>IF(F71&lt;G71,"ALERTE",IF(F71&lt;G71*1.2,"VIGILANCE","NORMAL"))</f>
      </c>
    </row>
    <row r="72" spans="1:8" x14ac:dyDescent="0.25">
      <c r="A72" s="25">
        <f>A71+1</f>
      </c>
      <c r="B72" s="19">
        <f>SUMIFS('03_FLUX'!$E$3:$E$502,'03_FLUX'!$A$3:$A$502,A72,'03_FLUX'!$B$3:$B$502,"Encaissement",'03_FLUX'!$F$3:$F$502,"Prévu")</f>
      </c>
      <c r="C72" s="19">
        <f>SUMIFS('03_FLUX'!$E$3:$E$502,'03_FLUX'!$A$3:$A$502,A72,'03_FLUX'!$B$3:$B$502,"Décaissement",'03_FLUX'!$F$3:$F$502,"Prévu")</f>
      </c>
      <c r="D72" s="19">
        <f>SUMIFS('03_FLUX'!$E$3:$E$502,'03_FLUX'!$A$3:$A$502,A72,'03_FLUX'!$B$3:$B$502,"Encaissement",'03_FLUX'!$F$3:$F$502,"Réalisé")</f>
      </c>
      <c r="E72" s="19">
        <f>SUMIFS('03_FLUX'!$E$3:$E$502,'03_FLUX'!$A$3:$A$502,A72,'03_FLUX'!$B$3:$B$502,"Décaissement",'03_FLUX'!$F$3:$F$502,"Réalisé")</f>
      </c>
      <c r="F72" s="19">
        <f>F71+D72-E72+B72-C72</f>
      </c>
      <c r="G72" s="19">
        <f>'02_PARAMETRES'!B8</f>
      </c>
      <c r="H72" s="8">
        <f>IF(F72&lt;G72,"ALERTE",IF(F72&lt;G72*1.2,"VIGILANCE","NORMAL"))</f>
      </c>
    </row>
    <row r="73" spans="1:8" x14ac:dyDescent="0.25">
      <c r="A73" s="25">
        <f>A72+1</f>
      </c>
      <c r="B73" s="19">
        <f>SUMIFS('03_FLUX'!$E$3:$E$502,'03_FLUX'!$A$3:$A$502,A73,'03_FLUX'!$B$3:$B$502,"Encaissement",'03_FLUX'!$F$3:$F$502,"Prévu")</f>
      </c>
      <c r="C73" s="19">
        <f>SUMIFS('03_FLUX'!$E$3:$E$502,'03_FLUX'!$A$3:$A$502,A73,'03_FLUX'!$B$3:$B$502,"Décaissement",'03_FLUX'!$F$3:$F$502,"Prévu")</f>
      </c>
      <c r="D73" s="19">
        <f>SUMIFS('03_FLUX'!$E$3:$E$502,'03_FLUX'!$A$3:$A$502,A73,'03_FLUX'!$B$3:$B$502,"Encaissement",'03_FLUX'!$F$3:$F$502,"Réalisé")</f>
      </c>
      <c r="E73" s="19">
        <f>SUMIFS('03_FLUX'!$E$3:$E$502,'03_FLUX'!$A$3:$A$502,A73,'03_FLUX'!$B$3:$B$502,"Décaissement",'03_FLUX'!$F$3:$F$502,"Réalisé")</f>
      </c>
      <c r="F73" s="19">
        <f>F72+D73-E73+B73-C73</f>
      </c>
      <c r="G73" s="19">
        <f>'02_PARAMETRES'!B8</f>
      </c>
      <c r="H73" s="8">
        <f>IF(F73&lt;G73,"ALERTE",IF(F73&lt;G73*1.2,"VIGILANCE","NORMAL"))</f>
      </c>
    </row>
    <row r="74" spans="1:8" x14ac:dyDescent="0.25">
      <c r="A74" s="25">
        <f>A73+1</f>
      </c>
      <c r="B74" s="19">
        <f>SUMIFS('03_FLUX'!$E$3:$E$502,'03_FLUX'!$A$3:$A$502,A74,'03_FLUX'!$B$3:$B$502,"Encaissement",'03_FLUX'!$F$3:$F$502,"Prévu")</f>
      </c>
      <c r="C74" s="19">
        <f>SUMIFS('03_FLUX'!$E$3:$E$502,'03_FLUX'!$A$3:$A$502,A74,'03_FLUX'!$B$3:$B$502,"Décaissement",'03_FLUX'!$F$3:$F$502,"Prévu")</f>
      </c>
      <c r="D74" s="19">
        <f>SUMIFS('03_FLUX'!$E$3:$E$502,'03_FLUX'!$A$3:$A$502,A74,'03_FLUX'!$B$3:$B$502,"Encaissement",'03_FLUX'!$F$3:$F$502,"Réalisé")</f>
      </c>
      <c r="E74" s="19">
        <f>SUMIFS('03_FLUX'!$E$3:$E$502,'03_FLUX'!$A$3:$A$502,A74,'03_FLUX'!$B$3:$B$502,"Décaissement",'03_FLUX'!$F$3:$F$502,"Réalisé")</f>
      </c>
      <c r="F74" s="19">
        <f>F73+D74-E74+B74-C74</f>
      </c>
      <c r="G74" s="19">
        <f>'02_PARAMETRES'!B8</f>
      </c>
      <c r="H74" s="8">
        <f>IF(F74&lt;G74,"ALERTE",IF(F74&lt;G74*1.2,"VIGILANCE","NORMAL"))</f>
      </c>
    </row>
    <row r="75" spans="1:8" x14ac:dyDescent="0.25">
      <c r="A75" s="25">
        <f>A74+1</f>
      </c>
      <c r="B75" s="19">
        <f>SUMIFS('03_FLUX'!$E$3:$E$502,'03_FLUX'!$A$3:$A$502,A75,'03_FLUX'!$B$3:$B$502,"Encaissement",'03_FLUX'!$F$3:$F$502,"Prévu")</f>
      </c>
      <c r="C75" s="19">
        <f>SUMIFS('03_FLUX'!$E$3:$E$502,'03_FLUX'!$A$3:$A$502,A75,'03_FLUX'!$B$3:$B$502,"Décaissement",'03_FLUX'!$F$3:$F$502,"Prévu")</f>
      </c>
      <c r="D75" s="19">
        <f>SUMIFS('03_FLUX'!$E$3:$E$502,'03_FLUX'!$A$3:$A$502,A75,'03_FLUX'!$B$3:$B$502,"Encaissement",'03_FLUX'!$F$3:$F$502,"Réalisé")</f>
      </c>
      <c r="E75" s="19">
        <f>SUMIFS('03_FLUX'!$E$3:$E$502,'03_FLUX'!$A$3:$A$502,A75,'03_FLUX'!$B$3:$B$502,"Décaissement",'03_FLUX'!$F$3:$F$502,"Réalisé")</f>
      </c>
      <c r="F75" s="19">
        <f>F74+D75-E75+B75-C75</f>
      </c>
      <c r="G75" s="19">
        <f>'02_PARAMETRES'!B8</f>
      </c>
      <c r="H75" s="8">
        <f>IF(F75&lt;G75,"ALERTE",IF(F75&lt;G75*1.2,"VIGILANCE","NORMAL"))</f>
      </c>
    </row>
    <row r="76" spans="1:8" x14ac:dyDescent="0.25">
      <c r="A76" s="25">
        <f>A75+1</f>
      </c>
      <c r="B76" s="19">
        <f>SUMIFS('03_FLUX'!$E$3:$E$502,'03_FLUX'!$A$3:$A$502,A76,'03_FLUX'!$B$3:$B$502,"Encaissement",'03_FLUX'!$F$3:$F$502,"Prévu")</f>
      </c>
      <c r="C76" s="19">
        <f>SUMIFS('03_FLUX'!$E$3:$E$502,'03_FLUX'!$A$3:$A$502,A76,'03_FLUX'!$B$3:$B$502,"Décaissement",'03_FLUX'!$F$3:$F$502,"Prévu")</f>
      </c>
      <c r="D76" s="19">
        <f>SUMIFS('03_FLUX'!$E$3:$E$502,'03_FLUX'!$A$3:$A$502,A76,'03_FLUX'!$B$3:$B$502,"Encaissement",'03_FLUX'!$F$3:$F$502,"Réalisé")</f>
      </c>
      <c r="E76" s="19">
        <f>SUMIFS('03_FLUX'!$E$3:$E$502,'03_FLUX'!$A$3:$A$502,A76,'03_FLUX'!$B$3:$B$502,"Décaissement",'03_FLUX'!$F$3:$F$502,"Réalisé")</f>
      </c>
      <c r="F76" s="19">
        <f>F75+D76-E76+B76-C76</f>
      </c>
      <c r="G76" s="19">
        <f>'02_PARAMETRES'!B8</f>
      </c>
      <c r="H76" s="8">
        <f>IF(F76&lt;G76,"ALERTE",IF(F76&lt;G76*1.2,"VIGILANCE","NORMAL"))</f>
      </c>
    </row>
    <row r="77" spans="1:8" x14ac:dyDescent="0.25">
      <c r="A77" s="25">
        <f>A76+1</f>
      </c>
      <c r="B77" s="19">
        <f>SUMIFS('03_FLUX'!$E$3:$E$502,'03_FLUX'!$A$3:$A$502,A77,'03_FLUX'!$B$3:$B$502,"Encaissement",'03_FLUX'!$F$3:$F$502,"Prévu")</f>
      </c>
      <c r="C77" s="19">
        <f>SUMIFS('03_FLUX'!$E$3:$E$502,'03_FLUX'!$A$3:$A$502,A77,'03_FLUX'!$B$3:$B$502,"Décaissement",'03_FLUX'!$F$3:$F$502,"Prévu")</f>
      </c>
      <c r="D77" s="19">
        <f>SUMIFS('03_FLUX'!$E$3:$E$502,'03_FLUX'!$A$3:$A$502,A77,'03_FLUX'!$B$3:$B$502,"Encaissement",'03_FLUX'!$F$3:$F$502,"Réalisé")</f>
      </c>
      <c r="E77" s="19">
        <f>SUMIFS('03_FLUX'!$E$3:$E$502,'03_FLUX'!$A$3:$A$502,A77,'03_FLUX'!$B$3:$B$502,"Décaissement",'03_FLUX'!$F$3:$F$502,"Réalisé")</f>
      </c>
      <c r="F77" s="19">
        <f>F76+D77-E77+B77-C77</f>
      </c>
      <c r="G77" s="19">
        <f>'02_PARAMETRES'!B8</f>
      </c>
      <c r="H77" s="8">
        <f>IF(F77&lt;G77,"ALERTE",IF(F77&lt;G77*1.2,"VIGILANCE","NORMAL"))</f>
      </c>
    </row>
    <row r="78" spans="1:8" x14ac:dyDescent="0.25">
      <c r="A78" s="25">
        <f>A77+1</f>
      </c>
      <c r="B78" s="19">
        <f>SUMIFS('03_FLUX'!$E$3:$E$502,'03_FLUX'!$A$3:$A$502,A78,'03_FLUX'!$B$3:$B$502,"Encaissement",'03_FLUX'!$F$3:$F$502,"Prévu")</f>
      </c>
      <c r="C78" s="19">
        <f>SUMIFS('03_FLUX'!$E$3:$E$502,'03_FLUX'!$A$3:$A$502,A78,'03_FLUX'!$B$3:$B$502,"Décaissement",'03_FLUX'!$F$3:$F$502,"Prévu")</f>
      </c>
      <c r="D78" s="19">
        <f>SUMIFS('03_FLUX'!$E$3:$E$502,'03_FLUX'!$A$3:$A$502,A78,'03_FLUX'!$B$3:$B$502,"Encaissement",'03_FLUX'!$F$3:$F$502,"Réalisé")</f>
      </c>
      <c r="E78" s="19">
        <f>SUMIFS('03_FLUX'!$E$3:$E$502,'03_FLUX'!$A$3:$A$502,A78,'03_FLUX'!$B$3:$B$502,"Décaissement",'03_FLUX'!$F$3:$F$502,"Réalisé")</f>
      </c>
      <c r="F78" s="19">
        <f>F77+D78-E78+B78-C78</f>
      </c>
      <c r="G78" s="19">
        <f>'02_PARAMETRES'!B8</f>
      </c>
      <c r="H78" s="8">
        <f>IF(F78&lt;G78,"ALERTE",IF(F78&lt;G78*1.2,"VIGILANCE","NORMAL"))</f>
      </c>
    </row>
    <row r="79" spans="1:8" x14ac:dyDescent="0.25">
      <c r="A79" s="25">
        <f>A78+1</f>
      </c>
      <c r="B79" s="19">
        <f>SUMIFS('03_FLUX'!$E$3:$E$502,'03_FLUX'!$A$3:$A$502,A79,'03_FLUX'!$B$3:$B$502,"Encaissement",'03_FLUX'!$F$3:$F$502,"Prévu")</f>
      </c>
      <c r="C79" s="19">
        <f>SUMIFS('03_FLUX'!$E$3:$E$502,'03_FLUX'!$A$3:$A$502,A79,'03_FLUX'!$B$3:$B$502,"Décaissement",'03_FLUX'!$F$3:$F$502,"Prévu")</f>
      </c>
      <c r="D79" s="19">
        <f>SUMIFS('03_FLUX'!$E$3:$E$502,'03_FLUX'!$A$3:$A$502,A79,'03_FLUX'!$B$3:$B$502,"Encaissement",'03_FLUX'!$F$3:$F$502,"Réalisé")</f>
      </c>
      <c r="E79" s="19">
        <f>SUMIFS('03_FLUX'!$E$3:$E$502,'03_FLUX'!$A$3:$A$502,A79,'03_FLUX'!$B$3:$B$502,"Décaissement",'03_FLUX'!$F$3:$F$502,"Réalisé")</f>
      </c>
      <c r="F79" s="19">
        <f>F78+D79-E79+B79-C79</f>
      </c>
      <c r="G79" s="19">
        <f>'02_PARAMETRES'!B8</f>
      </c>
      <c r="H79" s="8">
        <f>IF(F79&lt;G79,"ALERTE",IF(F79&lt;G79*1.2,"VIGILANCE","NORMAL"))</f>
      </c>
    </row>
    <row r="80" spans="1:8" x14ac:dyDescent="0.25">
      <c r="A80" s="25">
        <f>A79+1</f>
      </c>
      <c r="B80" s="19">
        <f>SUMIFS('03_FLUX'!$E$3:$E$502,'03_FLUX'!$A$3:$A$502,A80,'03_FLUX'!$B$3:$B$502,"Encaissement",'03_FLUX'!$F$3:$F$502,"Prévu")</f>
      </c>
      <c r="C80" s="19">
        <f>SUMIFS('03_FLUX'!$E$3:$E$502,'03_FLUX'!$A$3:$A$502,A80,'03_FLUX'!$B$3:$B$502,"Décaissement",'03_FLUX'!$F$3:$F$502,"Prévu")</f>
      </c>
      <c r="D80" s="19">
        <f>SUMIFS('03_FLUX'!$E$3:$E$502,'03_FLUX'!$A$3:$A$502,A80,'03_FLUX'!$B$3:$B$502,"Encaissement",'03_FLUX'!$F$3:$F$502,"Réalisé")</f>
      </c>
      <c r="E80" s="19">
        <f>SUMIFS('03_FLUX'!$E$3:$E$502,'03_FLUX'!$A$3:$A$502,A80,'03_FLUX'!$B$3:$B$502,"Décaissement",'03_FLUX'!$F$3:$F$502,"Réalisé")</f>
      </c>
      <c r="F80" s="19">
        <f>F79+D80-E80+B80-C80</f>
      </c>
      <c r="G80" s="19">
        <f>'02_PARAMETRES'!B8</f>
      </c>
      <c r="H80" s="8">
        <f>IF(F80&lt;G80,"ALERTE",IF(F80&lt;G80*1.2,"VIGILANCE","NORMAL"))</f>
      </c>
    </row>
    <row r="81" spans="1:8" x14ac:dyDescent="0.25">
      <c r="A81" s="25">
        <f>A80+1</f>
      </c>
      <c r="B81" s="19">
        <f>SUMIFS('03_FLUX'!$E$3:$E$502,'03_FLUX'!$A$3:$A$502,A81,'03_FLUX'!$B$3:$B$502,"Encaissement",'03_FLUX'!$F$3:$F$502,"Prévu")</f>
      </c>
      <c r="C81" s="19">
        <f>SUMIFS('03_FLUX'!$E$3:$E$502,'03_FLUX'!$A$3:$A$502,A81,'03_FLUX'!$B$3:$B$502,"Décaissement",'03_FLUX'!$F$3:$F$502,"Prévu")</f>
      </c>
      <c r="D81" s="19">
        <f>SUMIFS('03_FLUX'!$E$3:$E$502,'03_FLUX'!$A$3:$A$502,A81,'03_FLUX'!$B$3:$B$502,"Encaissement",'03_FLUX'!$F$3:$F$502,"Réalisé")</f>
      </c>
      <c r="E81" s="19">
        <f>SUMIFS('03_FLUX'!$E$3:$E$502,'03_FLUX'!$A$3:$A$502,A81,'03_FLUX'!$B$3:$B$502,"Décaissement",'03_FLUX'!$F$3:$F$502,"Réalisé")</f>
      </c>
      <c r="F81" s="19">
        <f>F80+D81-E81+B81-C81</f>
      </c>
      <c r="G81" s="19">
        <f>'02_PARAMETRES'!B8</f>
      </c>
      <c r="H81" s="8">
        <f>IF(F81&lt;G81,"ALERTE",IF(F81&lt;G81*1.2,"VIGILANCE","NORMAL"))</f>
      </c>
    </row>
    <row r="82" spans="1:8" x14ac:dyDescent="0.25">
      <c r="A82" s="25">
        <f>A81+1</f>
      </c>
      <c r="B82" s="19">
        <f>SUMIFS('03_FLUX'!$E$3:$E$502,'03_FLUX'!$A$3:$A$502,A82,'03_FLUX'!$B$3:$B$502,"Encaissement",'03_FLUX'!$F$3:$F$502,"Prévu")</f>
      </c>
      <c r="C82" s="19">
        <f>SUMIFS('03_FLUX'!$E$3:$E$502,'03_FLUX'!$A$3:$A$502,A82,'03_FLUX'!$B$3:$B$502,"Décaissement",'03_FLUX'!$F$3:$F$502,"Prévu")</f>
      </c>
      <c r="D82" s="19">
        <f>SUMIFS('03_FLUX'!$E$3:$E$502,'03_FLUX'!$A$3:$A$502,A82,'03_FLUX'!$B$3:$B$502,"Encaissement",'03_FLUX'!$F$3:$F$502,"Réalisé")</f>
      </c>
      <c r="E82" s="19">
        <f>SUMIFS('03_FLUX'!$E$3:$E$502,'03_FLUX'!$A$3:$A$502,A82,'03_FLUX'!$B$3:$B$502,"Décaissement",'03_FLUX'!$F$3:$F$502,"Réalisé")</f>
      </c>
      <c r="F82" s="19">
        <f>F81+D82-E82+B82-C82</f>
      </c>
      <c r="G82" s="19">
        <f>'02_PARAMETRES'!B8</f>
      </c>
      <c r="H82" s="8">
        <f>IF(F82&lt;G82,"ALERTE",IF(F82&lt;G82*1.2,"VIGILANCE","NORMAL"))</f>
      </c>
    </row>
    <row r="83" spans="1:8" x14ac:dyDescent="0.25">
      <c r="A83" s="25">
        <f>A82+1</f>
      </c>
      <c r="B83" s="19">
        <f>SUMIFS('03_FLUX'!$E$3:$E$502,'03_FLUX'!$A$3:$A$502,A83,'03_FLUX'!$B$3:$B$502,"Encaissement",'03_FLUX'!$F$3:$F$502,"Prévu")</f>
      </c>
      <c r="C83" s="19">
        <f>SUMIFS('03_FLUX'!$E$3:$E$502,'03_FLUX'!$A$3:$A$502,A83,'03_FLUX'!$B$3:$B$502,"Décaissement",'03_FLUX'!$F$3:$F$502,"Prévu")</f>
      </c>
      <c r="D83" s="19">
        <f>SUMIFS('03_FLUX'!$E$3:$E$502,'03_FLUX'!$A$3:$A$502,A83,'03_FLUX'!$B$3:$B$502,"Encaissement",'03_FLUX'!$F$3:$F$502,"Réalisé")</f>
      </c>
      <c r="E83" s="19">
        <f>SUMIFS('03_FLUX'!$E$3:$E$502,'03_FLUX'!$A$3:$A$502,A83,'03_FLUX'!$B$3:$B$502,"Décaissement",'03_FLUX'!$F$3:$F$502,"Réalisé")</f>
      </c>
      <c r="F83" s="19">
        <f>F82+D83-E83+B83-C83</f>
      </c>
      <c r="G83" s="19">
        <f>'02_PARAMETRES'!B8</f>
      </c>
      <c r="H83" s="8">
        <f>IF(F83&lt;G83,"ALERTE",IF(F83&lt;G83*1.2,"VIGILANCE","NORMAL"))</f>
      </c>
    </row>
    <row r="84" spans="1:8" x14ac:dyDescent="0.25">
      <c r="A84" s="25">
        <f>A83+1</f>
      </c>
      <c r="B84" s="19">
        <f>SUMIFS('03_FLUX'!$E$3:$E$502,'03_FLUX'!$A$3:$A$502,A84,'03_FLUX'!$B$3:$B$502,"Encaissement",'03_FLUX'!$F$3:$F$502,"Prévu")</f>
      </c>
      <c r="C84" s="19">
        <f>SUMIFS('03_FLUX'!$E$3:$E$502,'03_FLUX'!$A$3:$A$502,A84,'03_FLUX'!$B$3:$B$502,"Décaissement",'03_FLUX'!$F$3:$F$502,"Prévu")</f>
      </c>
      <c r="D84" s="19">
        <f>SUMIFS('03_FLUX'!$E$3:$E$502,'03_FLUX'!$A$3:$A$502,A84,'03_FLUX'!$B$3:$B$502,"Encaissement",'03_FLUX'!$F$3:$F$502,"Réalisé")</f>
      </c>
      <c r="E84" s="19">
        <f>SUMIFS('03_FLUX'!$E$3:$E$502,'03_FLUX'!$A$3:$A$502,A84,'03_FLUX'!$B$3:$B$502,"Décaissement",'03_FLUX'!$F$3:$F$502,"Réalisé")</f>
      </c>
      <c r="F84" s="19">
        <f>F83+D84-E84+B84-C84</f>
      </c>
      <c r="G84" s="19">
        <f>'02_PARAMETRES'!B8</f>
      </c>
      <c r="H84" s="8">
        <f>IF(F84&lt;G84,"ALERTE",IF(F84&lt;G84*1.2,"VIGILANCE","NORMAL"))</f>
      </c>
    </row>
    <row r="85" spans="1:8" x14ac:dyDescent="0.25">
      <c r="A85" s="25">
        <f>A84+1</f>
      </c>
      <c r="B85" s="19">
        <f>SUMIFS('03_FLUX'!$E$3:$E$502,'03_FLUX'!$A$3:$A$502,A85,'03_FLUX'!$B$3:$B$502,"Encaissement",'03_FLUX'!$F$3:$F$502,"Prévu")</f>
      </c>
      <c r="C85" s="19">
        <f>SUMIFS('03_FLUX'!$E$3:$E$502,'03_FLUX'!$A$3:$A$502,A85,'03_FLUX'!$B$3:$B$502,"Décaissement",'03_FLUX'!$F$3:$F$502,"Prévu")</f>
      </c>
      <c r="D85" s="19">
        <f>SUMIFS('03_FLUX'!$E$3:$E$502,'03_FLUX'!$A$3:$A$502,A85,'03_FLUX'!$B$3:$B$502,"Encaissement",'03_FLUX'!$F$3:$F$502,"Réalisé")</f>
      </c>
      <c r="E85" s="19">
        <f>SUMIFS('03_FLUX'!$E$3:$E$502,'03_FLUX'!$A$3:$A$502,A85,'03_FLUX'!$B$3:$B$502,"Décaissement",'03_FLUX'!$F$3:$F$502,"Réalisé")</f>
      </c>
      <c r="F85" s="19">
        <f>F84+D85-E85+B85-C85</f>
      </c>
      <c r="G85" s="19">
        <f>'02_PARAMETRES'!B8</f>
      </c>
      <c r="H85" s="8">
        <f>IF(F85&lt;G85,"ALERTE",IF(F85&lt;G85*1.2,"VIGILANCE","NORMAL"))</f>
      </c>
    </row>
    <row r="86" spans="1:8" x14ac:dyDescent="0.25">
      <c r="A86" s="25">
        <f>A85+1</f>
      </c>
      <c r="B86" s="19">
        <f>SUMIFS('03_FLUX'!$E$3:$E$502,'03_FLUX'!$A$3:$A$502,A86,'03_FLUX'!$B$3:$B$502,"Encaissement",'03_FLUX'!$F$3:$F$502,"Prévu")</f>
      </c>
      <c r="C86" s="19">
        <f>SUMIFS('03_FLUX'!$E$3:$E$502,'03_FLUX'!$A$3:$A$502,A86,'03_FLUX'!$B$3:$B$502,"Décaissement",'03_FLUX'!$F$3:$F$502,"Prévu")</f>
      </c>
      <c r="D86" s="19">
        <f>SUMIFS('03_FLUX'!$E$3:$E$502,'03_FLUX'!$A$3:$A$502,A86,'03_FLUX'!$B$3:$B$502,"Encaissement",'03_FLUX'!$F$3:$F$502,"Réalisé")</f>
      </c>
      <c r="E86" s="19">
        <f>SUMIFS('03_FLUX'!$E$3:$E$502,'03_FLUX'!$A$3:$A$502,A86,'03_FLUX'!$B$3:$B$502,"Décaissement",'03_FLUX'!$F$3:$F$502,"Réalisé")</f>
      </c>
      <c r="F86" s="19">
        <f>F85+D86-E86+B86-C86</f>
      </c>
      <c r="G86" s="19">
        <f>'02_PARAMETRES'!B8</f>
      </c>
      <c r="H86" s="8">
        <f>IF(F86&lt;G86,"ALERTE",IF(F86&lt;G86*1.2,"VIGILANCE","NORMAL"))</f>
      </c>
    </row>
    <row r="87" spans="1:8" x14ac:dyDescent="0.25">
      <c r="A87" s="25">
        <f>A86+1</f>
      </c>
      <c r="B87" s="19">
        <f>SUMIFS('03_FLUX'!$E$3:$E$502,'03_FLUX'!$A$3:$A$502,A87,'03_FLUX'!$B$3:$B$502,"Encaissement",'03_FLUX'!$F$3:$F$502,"Prévu")</f>
      </c>
      <c r="C87" s="19">
        <f>SUMIFS('03_FLUX'!$E$3:$E$502,'03_FLUX'!$A$3:$A$502,A87,'03_FLUX'!$B$3:$B$502,"Décaissement",'03_FLUX'!$F$3:$F$502,"Prévu")</f>
      </c>
      <c r="D87" s="19">
        <f>SUMIFS('03_FLUX'!$E$3:$E$502,'03_FLUX'!$A$3:$A$502,A87,'03_FLUX'!$B$3:$B$502,"Encaissement",'03_FLUX'!$F$3:$F$502,"Réalisé")</f>
      </c>
      <c r="E87" s="19">
        <f>SUMIFS('03_FLUX'!$E$3:$E$502,'03_FLUX'!$A$3:$A$502,A87,'03_FLUX'!$B$3:$B$502,"Décaissement",'03_FLUX'!$F$3:$F$502,"Réalisé")</f>
      </c>
      <c r="F87" s="19">
        <f>F86+D87-E87+B87-C87</f>
      </c>
      <c r="G87" s="19">
        <f>'02_PARAMETRES'!B8</f>
      </c>
      <c r="H87" s="8">
        <f>IF(F87&lt;G87,"ALERTE",IF(F87&lt;G87*1.2,"VIGILANCE","NORMAL"))</f>
      </c>
    </row>
    <row r="88" spans="1:8" x14ac:dyDescent="0.25">
      <c r="A88" s="25">
        <f>A87+1</f>
      </c>
      <c r="B88" s="19">
        <f>SUMIFS('03_FLUX'!$E$3:$E$502,'03_FLUX'!$A$3:$A$502,A88,'03_FLUX'!$B$3:$B$502,"Encaissement",'03_FLUX'!$F$3:$F$502,"Prévu")</f>
      </c>
      <c r="C88" s="19">
        <f>SUMIFS('03_FLUX'!$E$3:$E$502,'03_FLUX'!$A$3:$A$502,A88,'03_FLUX'!$B$3:$B$502,"Décaissement",'03_FLUX'!$F$3:$F$502,"Prévu")</f>
      </c>
      <c r="D88" s="19">
        <f>SUMIFS('03_FLUX'!$E$3:$E$502,'03_FLUX'!$A$3:$A$502,A88,'03_FLUX'!$B$3:$B$502,"Encaissement",'03_FLUX'!$F$3:$F$502,"Réalisé")</f>
      </c>
      <c r="E88" s="19">
        <f>SUMIFS('03_FLUX'!$E$3:$E$502,'03_FLUX'!$A$3:$A$502,A88,'03_FLUX'!$B$3:$B$502,"Décaissement",'03_FLUX'!$F$3:$F$502,"Réalisé")</f>
      </c>
      <c r="F88" s="19">
        <f>F87+D88-E88+B88-C88</f>
      </c>
      <c r="G88" s="19">
        <f>'02_PARAMETRES'!B8</f>
      </c>
      <c r="H88" s="8">
        <f>IF(F88&lt;G88,"ALERTE",IF(F88&lt;G88*1.2,"VIGILANCE","NORMAL"))</f>
      </c>
    </row>
    <row r="89" spans="1:8" x14ac:dyDescent="0.25">
      <c r="A89" s="25">
        <f>A88+1</f>
      </c>
      <c r="B89" s="19">
        <f>SUMIFS('03_FLUX'!$E$3:$E$502,'03_FLUX'!$A$3:$A$502,A89,'03_FLUX'!$B$3:$B$502,"Encaissement",'03_FLUX'!$F$3:$F$502,"Prévu")</f>
      </c>
      <c r="C89" s="19">
        <f>SUMIFS('03_FLUX'!$E$3:$E$502,'03_FLUX'!$A$3:$A$502,A89,'03_FLUX'!$B$3:$B$502,"Décaissement",'03_FLUX'!$F$3:$F$502,"Prévu")</f>
      </c>
      <c r="D89" s="19">
        <f>SUMIFS('03_FLUX'!$E$3:$E$502,'03_FLUX'!$A$3:$A$502,A89,'03_FLUX'!$B$3:$B$502,"Encaissement",'03_FLUX'!$F$3:$F$502,"Réalisé")</f>
      </c>
      <c r="E89" s="19">
        <f>SUMIFS('03_FLUX'!$E$3:$E$502,'03_FLUX'!$A$3:$A$502,A89,'03_FLUX'!$B$3:$B$502,"Décaissement",'03_FLUX'!$F$3:$F$502,"Réalisé")</f>
      </c>
      <c r="F89" s="19">
        <f>F88+D89-E89+B89-C89</f>
      </c>
      <c r="G89" s="19">
        <f>'02_PARAMETRES'!B8</f>
      </c>
      <c r="H89" s="8">
        <f>IF(F89&lt;G89,"ALERTE",IF(F89&lt;G89*1.2,"VIGILANCE","NORMAL"))</f>
      </c>
    </row>
    <row r="90" spans="1:8" x14ac:dyDescent="0.25">
      <c r="A90" s="25">
        <f>A89+1</f>
      </c>
      <c r="B90" s="19">
        <f>SUMIFS('03_FLUX'!$E$3:$E$502,'03_FLUX'!$A$3:$A$502,A90,'03_FLUX'!$B$3:$B$502,"Encaissement",'03_FLUX'!$F$3:$F$502,"Prévu")</f>
      </c>
      <c r="C90" s="19">
        <f>SUMIFS('03_FLUX'!$E$3:$E$502,'03_FLUX'!$A$3:$A$502,A90,'03_FLUX'!$B$3:$B$502,"Décaissement",'03_FLUX'!$F$3:$F$502,"Prévu")</f>
      </c>
      <c r="D90" s="19">
        <f>SUMIFS('03_FLUX'!$E$3:$E$502,'03_FLUX'!$A$3:$A$502,A90,'03_FLUX'!$B$3:$B$502,"Encaissement",'03_FLUX'!$F$3:$F$502,"Réalisé")</f>
      </c>
      <c r="E90" s="19">
        <f>SUMIFS('03_FLUX'!$E$3:$E$502,'03_FLUX'!$A$3:$A$502,A90,'03_FLUX'!$B$3:$B$502,"Décaissement",'03_FLUX'!$F$3:$F$502,"Réalisé")</f>
      </c>
      <c r="F90" s="19">
        <f>F89+D90-E90+B90-C90</f>
      </c>
      <c r="G90" s="19">
        <f>'02_PARAMETRES'!B8</f>
      </c>
      <c r="H90" s="8">
        <f>IF(F90&lt;G90,"ALERTE",IF(F90&lt;G90*1.2,"VIGILANCE","NORMAL"))</f>
      </c>
    </row>
    <row r="91" spans="1:8" x14ac:dyDescent="0.25">
      <c r="A91" s="25">
        <f>A90+1</f>
      </c>
      <c r="B91" s="19">
        <f>SUMIFS('03_FLUX'!$E$3:$E$502,'03_FLUX'!$A$3:$A$502,A91,'03_FLUX'!$B$3:$B$502,"Encaissement",'03_FLUX'!$F$3:$F$502,"Prévu")</f>
      </c>
      <c r="C91" s="19">
        <f>SUMIFS('03_FLUX'!$E$3:$E$502,'03_FLUX'!$A$3:$A$502,A91,'03_FLUX'!$B$3:$B$502,"Décaissement",'03_FLUX'!$F$3:$F$502,"Prévu")</f>
      </c>
      <c r="D91" s="19">
        <f>SUMIFS('03_FLUX'!$E$3:$E$502,'03_FLUX'!$A$3:$A$502,A91,'03_FLUX'!$B$3:$B$502,"Encaissement",'03_FLUX'!$F$3:$F$502,"Réalisé")</f>
      </c>
      <c r="E91" s="19">
        <f>SUMIFS('03_FLUX'!$E$3:$E$502,'03_FLUX'!$A$3:$A$502,A91,'03_FLUX'!$B$3:$B$502,"Décaissement",'03_FLUX'!$F$3:$F$502,"Réalisé")</f>
      </c>
      <c r="F91" s="19">
        <f>F90+D91-E91+B91-C91</f>
      </c>
      <c r="G91" s="19">
        <f>'02_PARAMETRES'!B8</f>
      </c>
      <c r="H91" s="8">
        <f>IF(F91&lt;G91,"ALERTE",IF(F91&lt;G91*1.2,"VIGILANCE","NORMAL"))</f>
      </c>
    </row>
  </sheetData>
  <sheetProtection sheet="1" algorithmName="SHA-512" hashValue="AWwK1Ol7kw/GRyvtfYaOKGO5HQgrGR42Y+V6Auv7Ny1I980MKScPa8LQdq/y6SOWf/jscV3m4uDwu+V2S6kKqw==" saltValue="W7w+fExenr5tVb82o1mryQ==" spinCount="100000"/>
  <conditionalFormatting sqref="H2:H91">
    <cfRule type="containsText" dxfId="0" priority="1">
      <formula>NOT(ISERROR(SEARCH("ALERTE",H2)))</formula>
    </cfRule>
    <cfRule type="containsText" dxfId="1" priority="2">
      <formula>NOT(ISERROR(SEARCH("VIGILANCE",H2)))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8" width="18" customWidth="1"/>
  </cols>
  <sheetData>
    <row r="1" ht="36" customHeight="1" spans="1:8" x14ac:dyDescent="0.25">
      <c r="A1" s="1" t="s">
        <v>40</v>
      </c>
      <c r="B1" s="1"/>
      <c r="C1" s="1"/>
      <c r="D1" s="1"/>
      <c r="E1" s="1"/>
      <c r="F1" s="1"/>
      <c r="G1" s="1"/>
      <c r="H1" s="1"/>
    </row>
    <row r="4" spans="1:5" x14ac:dyDescent="0.25">
      <c r="A4" s="23" t="s">
        <v>41</v>
      </c>
      <c r="B4" s="24">
        <f>'02_PARAMETRES'!B7+SUMIFS('03_FLUX'!$H$3:$H$502,'03_FLUX'!$F$3:$F$502,"Réalisé")</f>
      </c>
      <c r="D4" s="23" t="s">
        <v>42</v>
      </c>
      <c r="E4" s="24">
        <f>'05_PREVISION'!F31</f>
      </c>
    </row>
    <row r="8" spans="1:5" x14ac:dyDescent="0.25">
      <c r="A8" s="23" t="s">
        <v>43</v>
      </c>
      <c r="B8" s="24">
        <f>'05_PREVISION'!F61</f>
      </c>
      <c r="D8" s="23" t="s">
        <v>44</v>
      </c>
      <c r="E8" s="24">
        <f>'05_PREVISION'!F91</f>
      </c>
    </row>
    <row r="12" spans="1:5" x14ac:dyDescent="0.25">
      <c r="A12" s="23" t="s">
        <v>45</v>
      </c>
      <c r="B12" s="19">
        <f>'02_PARAMETRES'!B8</f>
      </c>
      <c r="D12" s="23" t="s">
        <v>46</v>
      </c>
      <c r="E12" s="19">
        <f>E8-B12</f>
      </c>
    </row>
    <row r="16" spans="1:5" x14ac:dyDescent="0.25">
      <c r="A16" s="23" t="s">
        <v>47</v>
      </c>
      <c r="B16" s="25">
        <f>IFERROR(INDEX('05_PREVISION'!A2:A91,MATCH(TRUE,'05_PREVISION'!F2:F91&lt;'05_PREVISION'!G2:G91,0)),"Aucun sur 90 jours")</f>
      </c>
      <c r="D16" s="23" t="s">
        <v>48</v>
      </c>
      <c r="E16" s="19">
        <f>SUM('05_PREVISION'!C2:C8)</f>
      </c>
    </row>
    <row r="20" spans="1:8" x14ac:dyDescent="0.25">
      <c r="A20" s="26">
        <f>IF(MIN('05_PREVISION'!F2:F91)&lt;'02_PARAMETRES'!B8,"⚠ ALERTE : votre trésorerie prévisionnelle passe sous votre seuil de sécurité. Consultez le point de tension et les flux à venir.",IF(MIN('05_PREVISION'!F2:F91)&lt;'02_PARAMETRES'!B8*1.2,"⚠ VIGILANCE : votre trésorerie prévisionnelle se rapproche de votre seuil de sécurité.","✓ Situation normale : votre trésorerie prévisionnelle reste supérieure à votre seuil de sécurité."))</f>
      </c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5" spans="1:8" x14ac:dyDescent="0.25">
      <c r="A25" s="27">
        <f>"Situation de trésorerie : solde actuel "&amp;TEXT(B4,"#,##0.00 €")&amp;". Sur les 90 prochains jours, le minimum prévisionnel est "&amp;TEXT(MIN('05_PREVISION'!F2:F91),"#,##0.00 €")&amp;"."</f>
      </c>
      <c r="B25" s="27"/>
      <c r="C25" s="27"/>
      <c r="D25" s="27"/>
      <c r="E25" s="27"/>
      <c r="F25" s="27"/>
      <c r="G25" s="27"/>
      <c r="H25" s="27"/>
    </row>
    <row r="26" spans="1:8" x14ac:dyDescent="0.25">
      <c r="A26" s="27"/>
      <c r="B26" s="27"/>
      <c r="C26" s="27"/>
      <c r="D26" s="27"/>
      <c r="E26" s="27"/>
      <c r="F26" s="27"/>
      <c r="G26" s="27"/>
      <c r="H26" s="27"/>
    </row>
    <row r="27" spans="1:8" x14ac:dyDescent="0.25">
      <c r="A27" s="27"/>
      <c r="B27" s="27"/>
      <c r="C27" s="27"/>
      <c r="D27" s="27"/>
      <c r="E27" s="27"/>
      <c r="F27" s="27"/>
      <c r="G27" s="27"/>
      <c r="H27" s="27"/>
    </row>
  </sheetData>
  <sheetProtection sheet="1" algorithmName="SHA-512" hashValue="0t25jmdpfrul336ProMlQtBmv7Clx3hNFqyge6y+OyU27Vv1mHM6Lm21D8SFkhslzMMrraR2axjkAvVsCZ78rg==" saltValue="52vefYZ68cod0qqT+1wPGw==" spinCount="100000"/>
  <mergeCells count="3">
    <mergeCell ref="A1:H1"/>
    <mergeCell ref="A20:H23"/>
    <mergeCell ref="A25:H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6" width="21" customWidth="1"/>
  </cols>
  <sheetData>
    <row r="1" spans="1:6" x14ac:dyDescent="0.25">
      <c r="A1" s="1" t="s">
        <v>55</v>
      </c>
      <c r="B1" s="1"/>
      <c r="C1" s="1"/>
      <c r="D1" s="1"/>
      <c r="E1" s="1"/>
      <c r="F1" s="1"/>
    </row>
    <row r="3" spans="1:6" x14ac:dyDescent="0.25">
      <c r="A3" s="31" t="s">
        <v>56</v>
      </c>
      <c r="B3" s="27" t="s">
        <v>57</v>
      </c>
      <c r="C3" s="27"/>
      <c r="D3" s="27"/>
      <c r="E3" s="27"/>
      <c r="F3" s="27"/>
    </row>
    <row r="4" spans="2:6" x14ac:dyDescent="0.25">
      <c r="B4" s="27"/>
      <c r="C4" s="27"/>
      <c r="D4" s="27"/>
      <c r="E4" s="27"/>
      <c r="F4" s="27"/>
    </row>
    <row r="6" spans="1:6" x14ac:dyDescent="0.25">
      <c r="A6" s="31" t="s">
        <v>58</v>
      </c>
      <c r="B6" s="27" t="s">
        <v>59</v>
      </c>
      <c r="C6" s="27"/>
      <c r="D6" s="27"/>
      <c r="E6" s="27"/>
      <c r="F6" s="27"/>
    </row>
    <row r="7" spans="2:6" x14ac:dyDescent="0.25">
      <c r="B7" s="27"/>
      <c r="C7" s="27"/>
      <c r="D7" s="27"/>
      <c r="E7" s="27"/>
      <c r="F7" s="27"/>
    </row>
    <row r="9" spans="1:6" x14ac:dyDescent="0.25">
      <c r="A9" s="31" t="s">
        <v>60</v>
      </c>
      <c r="B9" s="27" t="s">
        <v>61</v>
      </c>
      <c r="C9" s="27"/>
      <c r="D9" s="27"/>
      <c r="E9" s="27"/>
      <c r="F9" s="27"/>
    </row>
    <row r="10" spans="2:6" x14ac:dyDescent="0.25">
      <c r="B10" s="27"/>
      <c r="C10" s="27"/>
      <c r="D10" s="27"/>
      <c r="E10" s="27"/>
      <c r="F10" s="27"/>
    </row>
    <row r="12" spans="1:6" x14ac:dyDescent="0.25">
      <c r="A12" s="31" t="s">
        <v>62</v>
      </c>
      <c r="B12" s="27" t="s">
        <v>63</v>
      </c>
      <c r="C12" s="27"/>
      <c r="D12" s="27"/>
      <c r="E12" s="27"/>
      <c r="F12" s="27"/>
    </row>
    <row r="13" spans="2:6" x14ac:dyDescent="0.25">
      <c r="B13" s="27"/>
      <c r="C13" s="27"/>
      <c r="D13" s="27"/>
      <c r="E13" s="27"/>
      <c r="F13" s="27"/>
    </row>
    <row r="15" spans="1:6" x14ac:dyDescent="0.25">
      <c r="A15" s="31" t="s">
        <v>64</v>
      </c>
      <c r="B15" s="27" t="s">
        <v>65</v>
      </c>
      <c r="C15" s="27"/>
      <c r="D15" s="27"/>
      <c r="E15" s="27"/>
      <c r="F15" s="27"/>
    </row>
    <row r="16" spans="2:6" x14ac:dyDescent="0.25">
      <c r="B16" s="27"/>
      <c r="C16" s="27"/>
      <c r="D16" s="27"/>
      <c r="E16" s="27"/>
      <c r="F16" s="27"/>
    </row>
  </sheetData>
  <sheetProtection sheet="1" algorithmName="SHA-512" hashValue="O3m8XMADpnKE8WqXHK4zpzzCqYHcSA8B3qsnfznNQbIcHpEqcKFWqm1VAqKtVJvnv0sRjnLzIe4MIEhb0nkScQ==" saltValue="fJDQciNWMTvdLQFD0SQN+g==" spinCount="100000"/>
  <mergeCells count="6">
    <mergeCell ref="A1:F1"/>
    <mergeCell ref="B3:F4"/>
    <mergeCell ref="B6:F7"/>
    <mergeCell ref="B9:F10"/>
    <mergeCell ref="B12:F13"/>
    <mergeCell ref="B15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sheetData>
    <row r="1" spans="1:3" x14ac:dyDescent="0.25">
      <c r="A1" s="32" t="s">
        <v>66</v>
      </c>
      <c r="B1" s="32" t="s">
        <v>67</v>
      </c>
      <c r="C1" s="32" t="s">
        <v>68</v>
      </c>
    </row>
    <row r="2" spans="1:3" x14ac:dyDescent="0.25">
      <c r="A2" t="s">
        <v>29</v>
      </c>
      <c r="B2" t="s">
        <v>30</v>
      </c>
      <c r="C2" t="s">
        <v>39</v>
      </c>
    </row>
    <row r="3" spans="1:3" x14ac:dyDescent="0.25">
      <c r="A3" t="s">
        <v>34</v>
      </c>
      <c r="B3" t="s">
        <v>69</v>
      </c>
      <c r="C3" t="s">
        <v>32</v>
      </c>
    </row>
    <row r="4" spans="1:3" x14ac:dyDescent="0.25">
      <c r="A4" t="s">
        <v>70</v>
      </c>
      <c r="B4" t="s">
        <v>71</v>
      </c>
      <c r="C4" t="s">
        <v>70</v>
      </c>
    </row>
    <row r="5" spans="1:3" x14ac:dyDescent="0.25">
      <c r="A5" t="s">
        <v>70</v>
      </c>
      <c r="B5" t="s">
        <v>72</v>
      </c>
      <c r="C5" t="s">
        <v>70</v>
      </c>
    </row>
    <row r="6" spans="1:3" x14ac:dyDescent="0.25">
      <c r="A6" t="s">
        <v>70</v>
      </c>
      <c r="B6" t="s">
        <v>73</v>
      </c>
      <c r="C6" t="s">
        <v>70</v>
      </c>
    </row>
    <row r="7" spans="1:3" x14ac:dyDescent="0.25">
      <c r="A7" t="s">
        <v>70</v>
      </c>
      <c r="B7" t="s">
        <v>35</v>
      </c>
      <c r="C7" t="s">
        <v>70</v>
      </c>
    </row>
    <row r="8" spans="1:3" x14ac:dyDescent="0.25">
      <c r="A8" t="s">
        <v>70</v>
      </c>
      <c r="B8" t="s">
        <v>74</v>
      </c>
      <c r="C8" t="s">
        <v>70</v>
      </c>
    </row>
    <row r="9" spans="1:3" x14ac:dyDescent="0.25">
      <c r="A9" t="s">
        <v>70</v>
      </c>
      <c r="B9" t="s">
        <v>37</v>
      </c>
      <c r="C9" t="s">
        <v>70</v>
      </c>
    </row>
    <row r="10" spans="1:3" x14ac:dyDescent="0.25">
      <c r="A10" t="s">
        <v>70</v>
      </c>
      <c r="B10" t="s">
        <v>75</v>
      </c>
      <c r="C10" t="s">
        <v>70</v>
      </c>
    </row>
    <row r="11" spans="1:3" x14ac:dyDescent="0.25">
      <c r="A11" t="s">
        <v>70</v>
      </c>
      <c r="B11" t="s">
        <v>76</v>
      </c>
      <c r="C11" t="s">
        <v>70</v>
      </c>
    </row>
    <row r="12" spans="1:3" x14ac:dyDescent="0.25">
      <c r="A12" t="s">
        <v>70</v>
      </c>
      <c r="B12" t="s">
        <v>77</v>
      </c>
      <c r="C12" t="s">
        <v>70</v>
      </c>
    </row>
    <row r="13" spans="1:3" x14ac:dyDescent="0.25">
      <c r="A13" t="s">
        <v>70</v>
      </c>
      <c r="B13" t="s">
        <v>78</v>
      </c>
      <c r="C13" t="s">
        <v>70</v>
      </c>
    </row>
    <row r="14" spans="1:3" x14ac:dyDescent="0.25">
      <c r="A14" t="s">
        <v>70</v>
      </c>
      <c r="B14" t="s">
        <v>79</v>
      </c>
      <c r="C14" t="s">
        <v>70</v>
      </c>
    </row>
    <row r="15" spans="1:3" x14ac:dyDescent="0.25">
      <c r="A15" t="s">
        <v>70</v>
      </c>
      <c r="B15" t="s">
        <v>80</v>
      </c>
      <c r="C15" t="s">
        <v>70</v>
      </c>
    </row>
    <row r="16" spans="1:3" x14ac:dyDescent="0.25">
      <c r="A16" t="s">
        <v>70</v>
      </c>
      <c r="B16" t="s">
        <v>81</v>
      </c>
      <c r="C16" t="s">
        <v>70</v>
      </c>
    </row>
    <row r="17" spans="1:3" x14ac:dyDescent="0.25">
      <c r="A17" t="s">
        <v>70</v>
      </c>
      <c r="B17" t="s">
        <v>82</v>
      </c>
      <c r="C17" t="s">
        <v>70</v>
      </c>
    </row>
    <row r="18" spans="1:3" x14ac:dyDescent="0.25">
      <c r="A18" t="s">
        <v>70</v>
      </c>
      <c r="B18" t="s">
        <v>83</v>
      </c>
      <c r="C18" t="s">
        <v>70</v>
      </c>
    </row>
    <row r="19" spans="1:3" x14ac:dyDescent="0.25">
      <c r="A19" t="s">
        <v>70</v>
      </c>
      <c r="B19" t="s">
        <v>84</v>
      </c>
      <c r="C19" t="s">
        <v>70</v>
      </c>
    </row>
    <row r="20" spans="1:3" x14ac:dyDescent="0.25">
      <c r="A20" t="s">
        <v>70</v>
      </c>
      <c r="B20" t="s">
        <v>85</v>
      </c>
      <c r="C20" t="s">
        <v>70</v>
      </c>
    </row>
    <row r="21" spans="1:3" x14ac:dyDescent="0.25">
      <c r="A21" t="s">
        <v>70</v>
      </c>
      <c r="B21" t="s">
        <v>86</v>
      </c>
      <c r="C2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01_ACCUEIL</vt:lpstr>
      <vt:lpstr>02_PARAMETRES</vt:lpstr>
      <vt:lpstr>03_FLUX</vt:lpstr>
      <vt:lpstr>04_TABLEAU_DE_BORD</vt:lpstr>
      <vt:lpstr>05_PREVISION</vt:lpstr>
      <vt:lpstr>06_AIDE</vt:lpstr>
      <vt:lpstr>99_LISTES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Sphorix France</dc:creator>
  <dc:title/>
  <dc:subject/>
  <dc:description/>
  <cp:keywords/>
  <cp:category/>
  <cp:lastModifiedBy>Unknown</cp:lastModifiedBy>
  <dcterms:created xsi:type="dcterms:W3CDTF">2026-09-19T14:41:32Z</dcterms:created>
  <dcterms:modified xsi:type="dcterms:W3CDTF">2026-09-19T14:41:32Z</dcterms:modified>
</cp:coreProperties>
</file>
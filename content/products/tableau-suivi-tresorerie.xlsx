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e d'emploi" state="visible" r:id="rId4"/>
    <sheet sheetId="2" name="Paramètres" state="visible" r:id="rId5"/>
    <sheet sheetId="3" name="Saisie" state="visible" r:id="rId6"/>
    <sheet sheetId="4" name="Suivi mensuel" state="visible" r:id="rId7"/>
    <sheet sheetId="5" name="Tableau de bord" state="visible" r:id="rId8"/>
  </sheets>
  <calcPr calcId="171027"/>
</workbook>
</file>

<file path=xl/sharedStrings.xml><?xml version="1.0" encoding="utf-8"?>
<sst xmlns="http://schemas.openxmlformats.org/spreadsheetml/2006/main" count="44" uniqueCount="35">
  <si>
    <t>SPHORIX FRANCE  |  TABLEAU DE SUIVI DE TRESORERIE</t>
  </si>
  <si>
    <t>Suivre les encaissements, les décaissements et le solde mensuel.</t>
  </si>
  <si>
    <t xml:space="preserve">MODELE AVEC DONNEES FICTIVES
Les montants ci-dessous sont fictifs et servent uniquement à démontrer le fonctionnement du modèle.
Version 1.0 - Septembre 2026</t>
  </si>
  <si>
    <t>Catégories de flux</t>
  </si>
  <si>
    <t>Ventes</t>
  </si>
  <si>
    <t>Prestations</t>
  </si>
  <si>
    <t>Subventions</t>
  </si>
  <si>
    <t>Achats</t>
  </si>
  <si>
    <t>Salaires</t>
  </si>
  <si>
    <t>Abonnements</t>
  </si>
  <si>
    <t>Impôts et taxes</t>
  </si>
  <si>
    <t>Autre</t>
  </si>
  <si>
    <t>Date</t>
  </si>
  <si>
    <t>Type</t>
  </si>
  <si>
    <t>Catégorie</t>
  </si>
  <si>
    <t>Libellé</t>
  </si>
  <si>
    <t>Montant HT</t>
  </si>
  <si>
    <t>Commentaire</t>
  </si>
  <si>
    <t>Entrée</t>
  </si>
  <si>
    <t>Facture client A</t>
  </si>
  <si>
    <t>Exemple fictif</t>
  </si>
  <si>
    <t>Sortie</t>
  </si>
  <si>
    <t>Fournitures</t>
  </si>
  <si>
    <t>Mission client B</t>
  </si>
  <si>
    <t>Outils numériques</t>
  </si>
  <si>
    <t>Mois</t>
  </si>
  <si>
    <t>Entrées</t>
  </si>
  <si>
    <t>Sorties</t>
  </si>
  <si>
    <t>Solde net</t>
  </si>
  <si>
    <t>Indicateur de suivi de gestion. Ce modèle ne remplace pas les comptes annuels ni les conseils d’un professionnel réglementé.</t>
  </si>
  <si>
    <t>TABLEAU DE BORD DE TRESORERIE</t>
  </si>
  <si>
    <t>Total entrées</t>
  </si>
  <si>
    <t>Total sorties</t>
  </si>
  <si>
    <t>Solde net annuel</t>
  </si>
  <si>
    <t>Données d’exemple fictives. Remplacez-les par vos données avant utilisation.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</si>
</sst>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[$€-fr-FR]"/>
    <numFmt numFmtId="166" formatCode="mmmm yyyy"/>
  </numFmts>
  <fonts count="8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b/>
      <color rgb="FF1E293B"/>
      <sz val="14"/>
    </font>
    <font>
      <color rgb="FF1E293B"/>
    </font>
    <font>
      <b/>
      <color rgb="FFFFFFFF"/>
    </font>
    <font>
      <i/>
      <color rgb="FF64748B"/>
    </font>
    <font>
      <b/>
      <color rgb="FF1E293B"/>
    </font>
    <font>
      <b/>
      <color rgb="FF1D4ED8"/>
      <sz val="16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7ED"/>
      </patternFill>
    </fill>
    <fill>
      <patternFill patternType="solid">
        <fgColor rgb="FFF97316"/>
      </patternFill>
    </fill>
    <fill>
      <patternFill patternType="solid">
        <fgColor rgb="FF1D4ED8"/>
      </patternFill>
    </fill>
    <fill>
      <patternFill patternType="solid">
        <fgColor rgb="FF15803D"/>
      </patternFill>
    </fill>
  </fills>
  <borders count="2">
    <border>
      <left/>
      <right/>
      <top/>
      <bottom/>
      <diagonal/>
    </border>
    <border>
      <left/>
      <right/>
      <top/>
      <bottom style="hair">
        <color rgb="FFE2E8F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3" borderId="0" xfId="0" applyFont="1" applyFill="1" applyAlignment="1">
      <alignment vertical="top" wrapText="1"/>
    </xf>
    <xf numFmtId="0" fontId="4" fillId="4" borderId="1" xfId="0" applyFont="1" applyFill="1" applyBorder="1" applyAlignment="1">
      <alignment wrapText="1"/>
    </xf>
    <xf numFmtId="0" fontId="0" fillId="0" borderId="1" xfId="0" applyBorder="1" applyAlignment="1"/>
    <xf numFmtId="164" fontId="0" fillId="0" borderId="0" xfId="0" applyNumberFormat="1"/>
    <xf numFmtId="165" fontId="0" fillId="0" borderId="0" xfId="0" applyNumberFormat="1"/>
    <xf numFmtId="164" fontId="4" fillId="5" borderId="1" xfId="0" applyNumberFormat="1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165" fontId="4" fillId="5" borderId="1" xfId="0" applyNumberFormat="1" applyFont="1" applyFill="1" applyBorder="1" applyAlignment="1">
      <alignment wrapText="1"/>
    </xf>
    <xf numFmtId="164" fontId="0" fillId="0" borderId="1" xfId="0" applyNumberFormat="1" applyBorder="1" applyAlignment="1"/>
    <xf numFmtId="165" fontId="0" fillId="0" borderId="1" xfId="0" applyNumberFormat="1" applyBorder="1" applyAlignment="1"/>
    <xf numFmtId="166" fontId="0" fillId="0" borderId="0" xfId="0" applyNumberFormat="1"/>
    <xf numFmtId="166" fontId="4" fillId="6" borderId="1" xfId="0" applyNumberFormat="1" applyFont="1" applyFill="1" applyBorder="1" applyAlignment="1">
      <alignment wrapText="1"/>
    </xf>
    <xf numFmtId="165" fontId="4" fillId="6" borderId="1" xfId="0" applyNumberFormat="1" applyFont="1" applyFill="1" applyBorder="1" applyAlignment="1">
      <alignment wrapText="1"/>
    </xf>
    <xf numFmtId="166" fontId="0" fillId="0" borderId="1" xfId="0" applyNumberFormat="1" applyBorder="1" applyAlignment="1"/>
    <xf numFmtId="166" fontId="5" fillId="0" borderId="1" xfId="0" applyNumberFormat="1" applyFont="1" applyBorder="1" applyAlignment="1">
      <alignment wrapText="1"/>
    </xf>
    <xf numFmtId="0" fontId="1" fillId="5" borderId="1" xfId="0" applyFont="1" applyFill="1" applyBorder="1" applyAlignment="1"/>
    <xf numFmtId="0" fontId="6" fillId="0" borderId="1" xfId="0" applyFont="1" applyBorder="1" applyAlignment="1"/>
    <xf numFmtId="165" fontId="7" fillId="0" borderId="1" xfId="0" applyNumberFormat="1" applyFont="1" applyBorder="1" applyAlignment="1"/>
    <xf numFmtId="0" fontId="5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cols>
    <col min="1" max="1" width="28" customWidth="1"/>
    <col min="2" max="6" width="22" customWidth="1"/>
  </cols>
  <sheetData>
    <row r="1" ht="34" customHeight="1" spans="1:6" x14ac:dyDescent="0.25">
      <c r="A1" s="1" t="s">
        <v>0</v>
      </c>
      <c r="B1" s="1"/>
      <c r="C1" s="1"/>
      <c r="D1" s="1"/>
      <c r="E1" s="1"/>
      <c r="F1" s="1"/>
    </row>
    <row r="3" spans="1:6" x14ac:dyDescent="0.25">
      <c r="A3" s="2" t="s">
        <v>1</v>
      </c>
      <c r="B3" s="2"/>
      <c r="C3" s="2"/>
      <c r="D3" s="2"/>
      <c r="E3" s="2"/>
      <c r="F3" s="2"/>
    </row>
    <row r="5" spans="1:6" x14ac:dyDescent="0.25">
      <c r="A5" s="3" t="s">
        <v>2</v>
      </c>
      <c r="B5" s="3"/>
      <c r="C5" s="3"/>
      <c r="D5" s="3"/>
      <c r="E5" s="3"/>
      <c r="F5" s="3"/>
    </row>
    <row r="6" spans="1:6" x14ac:dyDescent="0.25">
      <c r="A6" s="3"/>
      <c r="B6" s="3"/>
      <c r="C6" s="3"/>
      <c r="D6" s="3"/>
      <c r="E6" s="3"/>
      <c r="F6" s="3"/>
    </row>
    <row r="7" spans="1:6" x14ac:dyDescent="0.25">
      <c r="A7" s="3"/>
      <c r="B7" s="3"/>
      <c r="C7" s="3"/>
      <c r="D7" s="3"/>
      <c r="E7" s="3"/>
      <c r="F7" s="3"/>
    </row>
  </sheetData>
  <mergeCells count="3">
    <mergeCell ref="A1:F1"/>
    <mergeCell ref="A3:F3"/>
    <mergeCell ref="A5:F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28" customWidth="1"/>
  </cols>
  <sheetData>
    <row r="1" spans="1:1" x14ac:dyDescent="0.25">
      <c r="A1" s="4" t="s">
        <v>3</v>
      </c>
    </row>
    <row r="2" spans="1:1" x14ac:dyDescent="0.25">
      <c r="A2" s="5" t="s">
        <v>4</v>
      </c>
    </row>
    <row r="3" spans="1:1" x14ac:dyDescent="0.25">
      <c r="A3" s="5" t="s">
        <v>5</v>
      </c>
    </row>
    <row r="4" spans="1:1" x14ac:dyDescent="0.25">
      <c r="A4" s="5" t="s">
        <v>6</v>
      </c>
    </row>
    <row r="5" spans="1:1" x14ac:dyDescent="0.25">
      <c r="A5" s="5" t="s">
        <v>7</v>
      </c>
    </row>
    <row r="6" spans="1:1" x14ac:dyDescent="0.25">
      <c r="A6" s="5" t="s">
        <v>8</v>
      </c>
    </row>
    <row r="7" spans="1:1" x14ac:dyDescent="0.25">
      <c r="A7" s="5" t="s">
        <v>9</v>
      </c>
    </row>
    <row r="8" spans="1:1" x14ac:dyDescent="0.25">
      <c r="A8" s="5" t="s">
        <v>10</v>
      </c>
    </row>
    <row r="9" spans="1:1" x14ac:dyDescent="0.25">
      <c r="A9" s="5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14" style="6" customWidth="1"/>
    <col min="2" max="2" width="14" customWidth="1"/>
    <col min="3" max="3" width="20" customWidth="1"/>
    <col min="4" max="4" width="28" customWidth="1"/>
    <col min="5" max="5" width="16" style="7" customWidth="1"/>
    <col min="6" max="6" width="24" customWidth="1"/>
  </cols>
  <sheetData>
    <row r="1" spans="1:6" x14ac:dyDescent="0.25">
      <c r="A1" s="8" t="s">
        <v>12</v>
      </c>
      <c r="B1" s="9" t="s">
        <v>13</v>
      </c>
      <c r="C1" s="9" t="s">
        <v>14</v>
      </c>
      <c r="D1" s="9" t="s">
        <v>15</v>
      </c>
      <c r="E1" s="10" t="s">
        <v>16</v>
      </c>
      <c r="F1" s="9" t="s">
        <v>17</v>
      </c>
    </row>
    <row r="2" spans="1:6" x14ac:dyDescent="0.25">
      <c r="A2" s="11">
        <v>46026.95833333333</v>
      </c>
      <c r="B2" s="5" t="s">
        <v>18</v>
      </c>
      <c r="C2" s="5" t="s">
        <v>4</v>
      </c>
      <c r="D2" s="5" t="s">
        <v>19</v>
      </c>
      <c r="E2" s="12">
        <v>4200</v>
      </c>
      <c r="F2" s="5" t="s">
        <v>20</v>
      </c>
    </row>
    <row r="3" spans="1:6" x14ac:dyDescent="0.25">
      <c r="A3" s="11">
        <v>46033.95833333333</v>
      </c>
      <c r="B3" s="5" t="s">
        <v>21</v>
      </c>
      <c r="C3" s="5" t="s">
        <v>7</v>
      </c>
      <c r="D3" s="5" t="s">
        <v>22</v>
      </c>
      <c r="E3" s="12">
        <v>650</v>
      </c>
      <c r="F3" s="5" t="s">
        <v>20</v>
      </c>
    </row>
    <row r="4" spans="1:6" x14ac:dyDescent="0.25">
      <c r="A4" s="11">
        <v>46060.95833333333</v>
      </c>
      <c r="B4" s="5" t="s">
        <v>18</v>
      </c>
      <c r="C4" s="5" t="s">
        <v>5</v>
      </c>
      <c r="D4" s="5" t="s">
        <v>23</v>
      </c>
      <c r="E4" s="12">
        <v>2800</v>
      </c>
      <c r="F4" s="5" t="s">
        <v>20</v>
      </c>
    </row>
    <row r="5" spans="1:6" x14ac:dyDescent="0.25">
      <c r="A5" s="11">
        <v>46070.95833333333</v>
      </c>
      <c r="B5" s="5" t="s">
        <v>21</v>
      </c>
      <c r="C5" s="5" t="s">
        <v>9</v>
      </c>
      <c r="D5" s="5" t="s">
        <v>24</v>
      </c>
      <c r="E5" s="12">
        <v>180</v>
      </c>
      <c r="F5" s="5" t="s">
        <v>20</v>
      </c>
    </row>
  </sheetData>
  <autoFilter ref="A1:F1"/>
  <dataValidations count="1">
    <dataValidation type="list" sqref="B2:B5">
      <formula1>"Entrée,Sortie"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18" style="13" customWidth="1"/>
    <col min="2" max="4" width="18" style="7" customWidth="1"/>
  </cols>
  <sheetData>
    <row r="1" spans="1:4" x14ac:dyDescent="0.25">
      <c r="A1" s="14" t="s">
        <v>25</v>
      </c>
      <c r="B1" s="15" t="s">
        <v>26</v>
      </c>
      <c r="C1" s="15" t="s">
        <v>27</v>
      </c>
      <c r="D1" s="15" t="s">
        <v>28</v>
      </c>
    </row>
    <row r="2" spans="1:4" x14ac:dyDescent="0.25">
      <c r="A2" s="16">
        <v>46022.95833333333</v>
      </c>
      <c r="B2" s="12">
        <f>SUMIFS(Saisie!$E:$E,Saisie!$B:$B,"Entrée",Saisie!$A:$A,"&gt;="&amp;A2,Saisie!$A:$A,"&lt;"&amp;EDATE(A2,1))</f>
      </c>
      <c r="C2" s="12">
        <f>SUMIFS(Saisie!$E:$E,Saisie!$B:$B,"Sortie",Saisie!$A:$A,"&gt;="&amp;A2,Saisie!$A:$A,"&lt;"&amp;EDATE(A2,1))</f>
      </c>
      <c r="D2" s="12">
        <f>B2-C2</f>
      </c>
    </row>
    <row r="3" spans="1:4" x14ac:dyDescent="0.25">
      <c r="A3" s="16">
        <v>46053.95833333333</v>
      </c>
      <c r="B3" s="12">
        <f>SUMIFS(Saisie!$E:$E,Saisie!$B:$B,"Entrée",Saisie!$A:$A,"&gt;="&amp;A3,Saisie!$A:$A,"&lt;"&amp;EDATE(A3,1))</f>
      </c>
      <c r="C3" s="12">
        <f>SUMIFS(Saisie!$E:$E,Saisie!$B:$B,"Sortie",Saisie!$A:$A,"&gt;="&amp;A3,Saisie!$A:$A,"&lt;"&amp;EDATE(A3,1))</f>
      </c>
      <c r="D3" s="12">
        <f>B3-C3</f>
      </c>
    </row>
    <row r="4" spans="1:4" x14ac:dyDescent="0.25">
      <c r="A4" s="16">
        <v>46081.95833333333</v>
      </c>
      <c r="B4" s="12">
        <f>SUMIFS(Saisie!$E:$E,Saisie!$B:$B,"Entrée",Saisie!$A:$A,"&gt;="&amp;A4,Saisie!$A:$A,"&lt;"&amp;EDATE(A4,1))</f>
      </c>
      <c r="C4" s="12">
        <f>SUMIFS(Saisie!$E:$E,Saisie!$B:$B,"Sortie",Saisie!$A:$A,"&gt;="&amp;A4,Saisie!$A:$A,"&lt;"&amp;EDATE(A4,1))</f>
      </c>
      <c r="D4" s="12">
        <f>B4-C4</f>
      </c>
    </row>
    <row r="5" spans="1:4" x14ac:dyDescent="0.25">
      <c r="A5" s="16">
        <v>46112.91666666667</v>
      </c>
      <c r="B5" s="12">
        <f>SUMIFS(Saisie!$E:$E,Saisie!$B:$B,"Entrée",Saisie!$A:$A,"&gt;="&amp;A5,Saisie!$A:$A,"&lt;"&amp;EDATE(A5,1))</f>
      </c>
      <c r="C5" s="12">
        <f>SUMIFS(Saisie!$E:$E,Saisie!$B:$B,"Sortie",Saisie!$A:$A,"&gt;="&amp;A5,Saisie!$A:$A,"&lt;"&amp;EDATE(A5,1))</f>
      </c>
      <c r="D5" s="12">
        <f>B5-C5</f>
      </c>
    </row>
    <row r="6" spans="1:4" x14ac:dyDescent="0.25">
      <c r="A6" s="16">
        <v>46142.91666666667</v>
      </c>
      <c r="B6" s="12">
        <f>SUMIFS(Saisie!$E:$E,Saisie!$B:$B,"Entrée",Saisie!$A:$A,"&gt;="&amp;A6,Saisie!$A:$A,"&lt;"&amp;EDATE(A6,1))</f>
      </c>
      <c r="C6" s="12">
        <f>SUMIFS(Saisie!$E:$E,Saisie!$B:$B,"Sortie",Saisie!$A:$A,"&gt;="&amp;A6,Saisie!$A:$A,"&lt;"&amp;EDATE(A6,1))</f>
      </c>
      <c r="D6" s="12">
        <f>B6-C6</f>
      </c>
    </row>
    <row r="7" spans="1:4" x14ac:dyDescent="0.25">
      <c r="A7" s="16">
        <v>46173.91666666667</v>
      </c>
      <c r="B7" s="12">
        <f>SUMIFS(Saisie!$E:$E,Saisie!$B:$B,"Entrée",Saisie!$A:$A,"&gt;="&amp;A7,Saisie!$A:$A,"&lt;"&amp;EDATE(A7,1))</f>
      </c>
      <c r="C7" s="12">
        <f>SUMIFS(Saisie!$E:$E,Saisie!$B:$B,"Sortie",Saisie!$A:$A,"&gt;="&amp;A7,Saisie!$A:$A,"&lt;"&amp;EDATE(A7,1))</f>
      </c>
      <c r="D7" s="12">
        <f>B7-C7</f>
      </c>
    </row>
    <row r="8" spans="1:4" x14ac:dyDescent="0.25">
      <c r="A8" s="16">
        <v>46203.91666666667</v>
      </c>
      <c r="B8" s="12">
        <f>SUMIFS(Saisie!$E:$E,Saisie!$B:$B,"Entrée",Saisie!$A:$A,"&gt;="&amp;A8,Saisie!$A:$A,"&lt;"&amp;EDATE(A8,1))</f>
      </c>
      <c r="C8" s="12">
        <f>SUMIFS(Saisie!$E:$E,Saisie!$B:$B,"Sortie",Saisie!$A:$A,"&gt;="&amp;A8,Saisie!$A:$A,"&lt;"&amp;EDATE(A8,1))</f>
      </c>
      <c r="D8" s="12">
        <f>B8-C8</f>
      </c>
    </row>
    <row r="9" spans="1:4" x14ac:dyDescent="0.25">
      <c r="A9" s="16">
        <v>46234.91666666667</v>
      </c>
      <c r="B9" s="12">
        <f>SUMIFS(Saisie!$E:$E,Saisie!$B:$B,"Entrée",Saisie!$A:$A,"&gt;="&amp;A9,Saisie!$A:$A,"&lt;"&amp;EDATE(A9,1))</f>
      </c>
      <c r="C9" s="12">
        <f>SUMIFS(Saisie!$E:$E,Saisie!$B:$B,"Sortie",Saisie!$A:$A,"&gt;="&amp;A9,Saisie!$A:$A,"&lt;"&amp;EDATE(A9,1))</f>
      </c>
      <c r="D9" s="12">
        <f>B9-C9</f>
      </c>
    </row>
    <row r="10" spans="1:4" x14ac:dyDescent="0.25">
      <c r="A10" s="16">
        <v>46265.91666666667</v>
      </c>
      <c r="B10" s="12">
        <f>SUMIFS(Saisie!$E:$E,Saisie!$B:$B,"Entrée",Saisie!$A:$A,"&gt;="&amp;A10,Saisie!$A:$A,"&lt;"&amp;EDATE(A10,1))</f>
      </c>
      <c r="C10" s="12">
        <f>SUMIFS(Saisie!$E:$E,Saisie!$B:$B,"Sortie",Saisie!$A:$A,"&gt;="&amp;A10,Saisie!$A:$A,"&lt;"&amp;EDATE(A10,1))</f>
      </c>
      <c r="D10" s="12">
        <f>B10-C10</f>
      </c>
    </row>
    <row r="11" spans="1:4" x14ac:dyDescent="0.25">
      <c r="A11" s="16">
        <v>46295.91666666667</v>
      </c>
      <c r="B11" s="12">
        <f>SUMIFS(Saisie!$E:$E,Saisie!$B:$B,"Entrée",Saisie!$A:$A,"&gt;="&amp;A11,Saisie!$A:$A,"&lt;"&amp;EDATE(A11,1))</f>
      </c>
      <c r="C11" s="12">
        <f>SUMIFS(Saisie!$E:$E,Saisie!$B:$B,"Sortie",Saisie!$A:$A,"&gt;="&amp;A11,Saisie!$A:$A,"&lt;"&amp;EDATE(A11,1))</f>
      </c>
      <c r="D11" s="12">
        <f>B11-C11</f>
      </c>
    </row>
    <row r="12" spans="1:4" x14ac:dyDescent="0.25">
      <c r="A12" s="16">
        <v>46326.95833333333</v>
      </c>
      <c r="B12" s="12">
        <f>SUMIFS(Saisie!$E:$E,Saisie!$B:$B,"Entrée",Saisie!$A:$A,"&gt;="&amp;A12,Saisie!$A:$A,"&lt;"&amp;EDATE(A12,1))</f>
      </c>
      <c r="C12" s="12">
        <f>SUMIFS(Saisie!$E:$E,Saisie!$B:$B,"Sortie",Saisie!$A:$A,"&gt;="&amp;A12,Saisie!$A:$A,"&lt;"&amp;EDATE(A12,1))</f>
      </c>
      <c r="D12" s="12">
        <f>B12-C12</f>
      </c>
    </row>
    <row r="13" spans="1:4" x14ac:dyDescent="0.25">
      <c r="A13" s="16">
        <v>46356.95833333333</v>
      </c>
      <c r="B13" s="12">
        <f>SUMIFS(Saisie!$E:$E,Saisie!$B:$B,"Entrée",Saisie!$A:$A,"&gt;="&amp;A13,Saisie!$A:$A,"&lt;"&amp;EDATE(A13,1))</f>
      </c>
      <c r="C13" s="12">
        <f>SUMIFS(Saisie!$E:$E,Saisie!$B:$B,"Sortie",Saisie!$A:$A,"&gt;="&amp;A13,Saisie!$A:$A,"&lt;"&amp;EDATE(A13,1))</f>
      </c>
      <c r="D13" s="12">
        <f>B13-C13</f>
      </c>
    </row>
    <row r="15" spans="1:6" x14ac:dyDescent="0.25">
      <c r="A15" s="17" t="s">
        <v>29</v>
      </c>
      <c r="B15" s="17"/>
      <c r="C15" s="17"/>
      <c r="D15" s="17"/>
      <c r="E15" s="17"/>
      <c r="F15" s="17"/>
    </row>
  </sheetData>
  <mergeCells count="1">
    <mergeCell ref="A15:F1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24" customWidth="1"/>
    <col min="2" max="2" width="20" customWidth="1"/>
    <col min="4" max="4" width="24" customWidth="1"/>
    <col min="5" max="5" width="20" customWidth="1"/>
  </cols>
  <sheetData>
    <row r="1" ht="34" customHeight="1" spans="1:6" x14ac:dyDescent="0.25">
      <c r="A1" s="18" t="s">
        <v>30</v>
      </c>
      <c r="B1" s="18"/>
      <c r="C1" s="18"/>
      <c r="D1" s="18"/>
      <c r="E1" s="18"/>
      <c r="F1" s="18"/>
    </row>
    <row r="3" spans="1:5" x14ac:dyDescent="0.25">
      <c r="A3" s="19" t="s">
        <v>31</v>
      </c>
      <c r="B3" s="20">
        <f>SUM('Suivi mensuel'!B2:B13)</f>
      </c>
      <c r="D3" s="19" t="s">
        <v>32</v>
      </c>
      <c r="E3" s="20">
        <f>SUM('Suivi mensuel'!C2:C13)</f>
      </c>
    </row>
    <row r="5" spans="1:2" x14ac:dyDescent="0.25">
      <c r="A5" s="19" t="s">
        <v>33</v>
      </c>
      <c r="B5" s="20">
        <f>SUM('Suivi mensuel'!D2:D13)</f>
      </c>
    </row>
    <row r="8" spans="1:6" x14ac:dyDescent="0.25">
      <c r="A8" s="21" t="s">
        <v>34</v>
      </c>
      <c r="B8" s="21"/>
      <c r="C8" s="21"/>
      <c r="D8" s="21"/>
      <c r="E8" s="21"/>
      <c r="F8" s="21"/>
    </row>
  </sheetData>
  <mergeCells count="2">
    <mergeCell ref="A1:F1"/>
    <mergeCell ref="A8:F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 d'emploi</vt:lpstr>
      <vt:lpstr>Paramètres</vt:lpstr>
      <vt:lpstr>Saisie</vt:lpstr>
      <vt:lpstr>Suivi mensuel</vt:lpstr>
      <vt:lpstr>Tableau de bord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Sphorix France</dc:creator>
  <dc:title/>
  <dc:subject/>
  <dc:description/>
  <cp:keywords/>
  <cp:category/>
  <cp:lastModifiedBy>Unknown</cp:lastModifiedBy>
  <dcterms:created xsi:type="dcterms:W3CDTF">2026-09-12T17:05:08Z</dcterms:created>
  <dcterms:modified xsi:type="dcterms:W3CDTF">2026-09-12T17:05:08Z</dcterms:modified>
</cp:coreProperties>
</file>
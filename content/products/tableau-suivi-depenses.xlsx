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Catégories" state="visible" r:id="rId5"/>
    <sheet sheetId="3" name="Saisie des dépenses" state="visible" r:id="rId6"/>
    <sheet sheetId="4" name="Synthèse mensuelle" state="visible" r:id="rId7"/>
    <sheet sheetId="5" name="Analyse par catégorie" state="visible" r:id="rId8"/>
  </sheets>
  <calcPr calcId="171027"/>
</workbook>
</file>

<file path=xl/sharedStrings.xml><?xml version="1.0" encoding="utf-8"?>
<sst xmlns="http://schemas.openxmlformats.org/spreadsheetml/2006/main" count="45" uniqueCount="32">
  <si>
    <t>SPHORIX FRANCE  |  TABLEAU DE SUIVI DES DEPENSES</t>
  </si>
  <si>
    <t>Centraliser, catégoriser et analyser les charges de votre activité.</t>
  </si>
  <si>
    <t xml:space="preserve">MODELE AVEC DONNEES FICTIVES
Les montants sont fictifs. Utilisez ce modèle comme base de suivi interne.
Version 1.0 - Septembre 2026</t>
  </si>
  <si>
    <t>Catégories de dépenses</t>
  </si>
  <si>
    <t>Achats</t>
  </si>
  <si>
    <t>Salaires</t>
  </si>
  <si>
    <t>Loyer</t>
  </si>
  <si>
    <t>Transport</t>
  </si>
  <si>
    <t>Logiciels</t>
  </si>
  <si>
    <t>Communication</t>
  </si>
  <si>
    <t>Taxes</t>
  </si>
  <si>
    <t>Autre</t>
  </si>
  <si>
    <t>Date</t>
  </si>
  <si>
    <t>Fournisseur</t>
  </si>
  <si>
    <t>Catégorie</t>
  </si>
  <si>
    <t>Description</t>
  </si>
  <si>
    <t>Montant TTC</t>
  </si>
  <si>
    <t>Payé ?</t>
  </si>
  <si>
    <t>Fournisseur A</t>
  </si>
  <si>
    <t>Matières premières</t>
  </si>
  <si>
    <t>Oui</t>
  </si>
  <si>
    <t>Outil B</t>
  </si>
  <si>
    <t>Abonnement annuel</t>
  </si>
  <si>
    <t>Prestataire C</t>
  </si>
  <si>
    <t>Impression supports</t>
  </si>
  <si>
    <t>Non</t>
  </si>
  <si>
    <t>Mois</t>
  </si>
  <si>
    <t>Total dépenses</t>
  </si>
  <si>
    <t>Dépenses payées</t>
  </si>
  <si>
    <t>Dépenses à payer</t>
  </si>
  <si>
    <t>Outil de suivi interne. Vérifiez vos obligations comptables et fiscales avec votre professionnel habituel.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</si>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</sst>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 [$€-fr-FR]"/>
    <numFmt numFmtId="166" formatCode="mmmm yyyy"/>
  </numFmts>
  <fonts count="6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b/>
      <color rgb="FF1E293B"/>
      <sz val="14"/>
    </font>
    <font>
      <color rgb="FF1E293B"/>
    </font>
    <font>
      <b/>
      <color rgb="FFFFFFFF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7ED"/>
      </patternFill>
    </fill>
    <fill>
      <patternFill patternType="solid">
        <fgColor rgb="FFF97316"/>
      </patternFill>
    </fill>
    <fill>
      <patternFill patternType="solid">
        <fgColor rgb="FF1D4ED8"/>
      </patternFill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wrapText="1"/>
    </xf>
    <xf numFmtId="0" fontId="0" fillId="0" borderId="1" xfId="0" applyBorder="1" applyAlignment="1"/>
    <xf numFmtId="164" fontId="0" fillId="0" borderId="0" xfId="0" applyNumberFormat="1"/>
    <xf numFmtId="165" fontId="0" fillId="0" borderId="0" xfId="0" applyNumberFormat="1"/>
    <xf numFmtId="164" fontId="4" fillId="5" borderId="1" xfId="0" applyNumberFormat="1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5" fontId="4" fillId="5" borderId="1" xfId="0" applyNumberFormat="1" applyFont="1" applyFill="1" applyBorder="1" applyAlignment="1">
      <alignment wrapText="1"/>
    </xf>
    <xf numFmtId="164" fontId="0" fillId="0" borderId="1" xfId="0" applyNumberFormat="1" applyBorder="1" applyAlignment="1"/>
    <xf numFmtId="165" fontId="0" fillId="0" borderId="1" xfId="0" applyNumberFormat="1" applyBorder="1" applyAlignment="1"/>
    <xf numFmtId="166" fontId="0" fillId="0" borderId="0" xfId="0" applyNumberFormat="1"/>
    <xf numFmtId="166" fontId="4" fillId="6" borderId="1" xfId="0" applyNumberFormat="1" applyFont="1" applyFill="1" applyBorder="1" applyAlignment="1">
      <alignment wrapText="1"/>
    </xf>
    <xf numFmtId="165" fontId="4" fillId="6" borderId="1" xfId="0" applyNumberFormat="1" applyFont="1" applyFill="1" applyBorder="1" applyAlignment="1">
      <alignment wrapText="1"/>
    </xf>
    <xf numFmtId="166" fontId="0" fillId="0" borderId="1" xfId="0" applyNumberFormat="1" applyBorder="1" applyAlignment="1"/>
    <xf numFmtId="166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8" customWidth="1"/>
    <col min="2" max="6" width="2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</sheetData>
  <mergeCells count="3">
    <mergeCell ref="A1:F1"/>
    <mergeCell ref="A3:F3"/>
    <mergeCell ref="A5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</cols>
  <sheetData>
    <row r="1" spans="1:1" x14ac:dyDescent="0.25">
      <c r="A1" s="4" t="s">
        <v>3</v>
      </c>
    </row>
    <row r="2" spans="1:1" x14ac:dyDescent="0.25">
      <c r="A2" s="5" t="s">
        <v>4</v>
      </c>
    </row>
    <row r="3" spans="1:1" x14ac:dyDescent="0.25">
      <c r="A3" s="5" t="s">
        <v>5</v>
      </c>
    </row>
    <row r="4" spans="1:1" x14ac:dyDescent="0.25">
      <c r="A4" s="5" t="s">
        <v>6</v>
      </c>
    </row>
    <row r="5" spans="1:1" x14ac:dyDescent="0.25">
      <c r="A5" s="5" t="s">
        <v>7</v>
      </c>
    </row>
    <row r="6" spans="1:1" x14ac:dyDescent="0.25">
      <c r="A6" s="5" t="s">
        <v>8</v>
      </c>
    </row>
    <row r="7" spans="1:1" x14ac:dyDescent="0.25">
      <c r="A7" s="5" t="s">
        <v>9</v>
      </c>
    </row>
    <row r="8" spans="1:1" x14ac:dyDescent="0.25">
      <c r="A8" s="5" t="s">
        <v>10</v>
      </c>
    </row>
    <row r="9" spans="1:1" x14ac:dyDescent="0.25">
      <c r="A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style="6" customWidth="1"/>
    <col min="2" max="2" width="22" customWidth="1"/>
    <col min="3" max="3" width="20" customWidth="1"/>
    <col min="4" max="4" width="30" customWidth="1"/>
    <col min="5" max="5" width="16" style="7" customWidth="1"/>
    <col min="6" max="6" width="14" customWidth="1"/>
  </cols>
  <sheetData>
    <row r="1" spans="1:6" x14ac:dyDescent="0.25">
      <c r="A1" s="8" t="s">
        <v>12</v>
      </c>
      <c r="B1" s="9" t="s">
        <v>13</v>
      </c>
      <c r="C1" s="9" t="s">
        <v>14</v>
      </c>
      <c r="D1" s="9" t="s">
        <v>15</v>
      </c>
      <c r="E1" s="10" t="s">
        <v>16</v>
      </c>
      <c r="F1" s="9" t="s">
        <v>17</v>
      </c>
    </row>
    <row r="2" spans="1:6" x14ac:dyDescent="0.25">
      <c r="A2" s="11">
        <v>46025.95833333333</v>
      </c>
      <c r="B2" s="5" t="s">
        <v>18</v>
      </c>
      <c r="C2" s="5" t="s">
        <v>4</v>
      </c>
      <c r="D2" s="5" t="s">
        <v>19</v>
      </c>
      <c r="E2" s="12">
        <v>840</v>
      </c>
      <c r="F2" s="5" t="s">
        <v>20</v>
      </c>
    </row>
    <row r="3" spans="1:6" x14ac:dyDescent="0.25">
      <c r="A3" s="11">
        <v>46036.95833333333</v>
      </c>
      <c r="B3" s="5" t="s">
        <v>21</v>
      </c>
      <c r="C3" s="5" t="s">
        <v>8</v>
      </c>
      <c r="D3" s="5" t="s">
        <v>22</v>
      </c>
      <c r="E3" s="12">
        <v>240</v>
      </c>
      <c r="F3" s="5" t="s">
        <v>20</v>
      </c>
    </row>
    <row r="4" spans="1:6" x14ac:dyDescent="0.25">
      <c r="A4" s="11">
        <v>46063.95833333333</v>
      </c>
      <c r="B4" s="5" t="s">
        <v>23</v>
      </c>
      <c r="C4" s="5" t="s">
        <v>9</v>
      </c>
      <c r="D4" s="5" t="s">
        <v>24</v>
      </c>
      <c r="E4" s="12">
        <v>390</v>
      </c>
      <c r="F4" s="5" t="s">
        <v>25</v>
      </c>
    </row>
  </sheetData>
  <autoFilter ref="A1:F1"/>
  <dataValidations count="1">
    <dataValidation type="list" sqref="F2:F4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style="13" customWidth="1"/>
    <col min="2" max="4" width="20" style="7" customWidth="1"/>
  </cols>
  <sheetData>
    <row r="1" spans="1:4" x14ac:dyDescent="0.25">
      <c r="A1" s="14" t="s">
        <v>26</v>
      </c>
      <c r="B1" s="15" t="s">
        <v>27</v>
      </c>
      <c r="C1" s="15" t="s">
        <v>28</v>
      </c>
      <c r="D1" s="15" t="s">
        <v>29</v>
      </c>
    </row>
    <row r="2" spans="1:4" x14ac:dyDescent="0.25">
      <c r="A2" s="16">
        <v>46022.95833333333</v>
      </c>
      <c r="B2" s="12">
        <f>SUMIFS('Saisie des dépenses'!$E:$E,'Saisie des dépenses'!$A:$A,"&gt;="&amp;A2,'Saisie des dépenses'!$A:$A,"&lt;"&amp;EDATE(A2,1))</f>
      </c>
      <c r="C2" s="12">
        <f>SUMIFS('Saisie des dépenses'!$E:$E,'Saisie des dépenses'!$A:$A,"&gt;="&amp;A2,'Saisie des dépenses'!$A:$A,"&lt;"&amp;EDATE(A2,1),'Saisie des dépenses'!$F:$F,"Oui")</f>
      </c>
      <c r="D2" s="12">
        <f>B2-C2</f>
      </c>
    </row>
    <row r="3" spans="1:4" x14ac:dyDescent="0.25">
      <c r="A3" s="16">
        <v>46053.95833333333</v>
      </c>
      <c r="B3" s="12">
        <f>SUMIFS('Saisie des dépenses'!$E:$E,'Saisie des dépenses'!$A:$A,"&gt;="&amp;A3,'Saisie des dépenses'!$A:$A,"&lt;"&amp;EDATE(A3,1))</f>
      </c>
      <c r="C3" s="12">
        <f>SUMIFS('Saisie des dépenses'!$E:$E,'Saisie des dépenses'!$A:$A,"&gt;="&amp;A3,'Saisie des dépenses'!$A:$A,"&lt;"&amp;EDATE(A3,1),'Saisie des dépenses'!$F:$F,"Oui")</f>
      </c>
      <c r="D3" s="12">
        <f>B3-C3</f>
      </c>
    </row>
    <row r="4" spans="1:4" x14ac:dyDescent="0.25">
      <c r="A4" s="16">
        <v>46081.95833333333</v>
      </c>
      <c r="B4" s="12">
        <f>SUMIFS('Saisie des dépenses'!$E:$E,'Saisie des dépenses'!$A:$A,"&gt;="&amp;A4,'Saisie des dépenses'!$A:$A,"&lt;"&amp;EDATE(A4,1))</f>
      </c>
      <c r="C4" s="12">
        <f>SUMIFS('Saisie des dépenses'!$E:$E,'Saisie des dépenses'!$A:$A,"&gt;="&amp;A4,'Saisie des dépenses'!$A:$A,"&lt;"&amp;EDATE(A4,1),'Saisie des dépenses'!$F:$F,"Oui")</f>
      </c>
      <c r="D4" s="12">
        <f>B4-C4</f>
      </c>
    </row>
    <row r="5" spans="1:4" x14ac:dyDescent="0.25">
      <c r="A5" s="16">
        <v>46112.91666666667</v>
      </c>
      <c r="B5" s="12">
        <f>SUMIFS('Saisie des dépenses'!$E:$E,'Saisie des dépenses'!$A:$A,"&gt;="&amp;A5,'Saisie des dépenses'!$A:$A,"&lt;"&amp;EDATE(A5,1))</f>
      </c>
      <c r="C5" s="12">
        <f>SUMIFS('Saisie des dépenses'!$E:$E,'Saisie des dépenses'!$A:$A,"&gt;="&amp;A5,'Saisie des dépenses'!$A:$A,"&lt;"&amp;EDATE(A5,1),'Saisie des dépenses'!$F:$F,"Oui")</f>
      </c>
      <c r="D5" s="12">
        <f>B5-C5</f>
      </c>
    </row>
    <row r="6" spans="1:4" x14ac:dyDescent="0.25">
      <c r="A6" s="16">
        <v>46142.91666666667</v>
      </c>
      <c r="B6" s="12">
        <f>SUMIFS('Saisie des dépenses'!$E:$E,'Saisie des dépenses'!$A:$A,"&gt;="&amp;A6,'Saisie des dépenses'!$A:$A,"&lt;"&amp;EDATE(A6,1))</f>
      </c>
      <c r="C6" s="12">
        <f>SUMIFS('Saisie des dépenses'!$E:$E,'Saisie des dépenses'!$A:$A,"&gt;="&amp;A6,'Saisie des dépenses'!$A:$A,"&lt;"&amp;EDATE(A6,1),'Saisie des dépenses'!$F:$F,"Oui")</f>
      </c>
      <c r="D6" s="12">
        <f>B6-C6</f>
      </c>
    </row>
    <row r="7" spans="1:4" x14ac:dyDescent="0.25">
      <c r="A7" s="16">
        <v>46173.91666666667</v>
      </c>
      <c r="B7" s="12">
        <f>SUMIFS('Saisie des dépenses'!$E:$E,'Saisie des dépenses'!$A:$A,"&gt;="&amp;A7,'Saisie des dépenses'!$A:$A,"&lt;"&amp;EDATE(A7,1))</f>
      </c>
      <c r="C7" s="12">
        <f>SUMIFS('Saisie des dépenses'!$E:$E,'Saisie des dépenses'!$A:$A,"&gt;="&amp;A7,'Saisie des dépenses'!$A:$A,"&lt;"&amp;EDATE(A7,1),'Saisie des dépenses'!$F:$F,"Oui")</f>
      </c>
      <c r="D7" s="12">
        <f>B7-C7</f>
      </c>
    </row>
    <row r="8" spans="1:4" x14ac:dyDescent="0.25">
      <c r="A8" s="16">
        <v>46203.91666666667</v>
      </c>
      <c r="B8" s="12">
        <f>SUMIFS('Saisie des dépenses'!$E:$E,'Saisie des dépenses'!$A:$A,"&gt;="&amp;A8,'Saisie des dépenses'!$A:$A,"&lt;"&amp;EDATE(A8,1))</f>
      </c>
      <c r="C8" s="12">
        <f>SUMIFS('Saisie des dépenses'!$E:$E,'Saisie des dépenses'!$A:$A,"&gt;="&amp;A8,'Saisie des dépenses'!$A:$A,"&lt;"&amp;EDATE(A8,1),'Saisie des dépenses'!$F:$F,"Oui")</f>
      </c>
      <c r="D8" s="12">
        <f>B8-C8</f>
      </c>
    </row>
    <row r="9" spans="1:4" x14ac:dyDescent="0.25">
      <c r="A9" s="16">
        <v>46234.91666666667</v>
      </c>
      <c r="B9" s="12">
        <f>SUMIFS('Saisie des dépenses'!$E:$E,'Saisie des dépenses'!$A:$A,"&gt;="&amp;A9,'Saisie des dépenses'!$A:$A,"&lt;"&amp;EDATE(A9,1))</f>
      </c>
      <c r="C9" s="12">
        <f>SUMIFS('Saisie des dépenses'!$E:$E,'Saisie des dépenses'!$A:$A,"&gt;="&amp;A9,'Saisie des dépenses'!$A:$A,"&lt;"&amp;EDATE(A9,1),'Saisie des dépenses'!$F:$F,"Oui")</f>
      </c>
      <c r="D9" s="12">
        <f>B9-C9</f>
      </c>
    </row>
    <row r="10" spans="1:4" x14ac:dyDescent="0.25">
      <c r="A10" s="16">
        <v>46265.91666666667</v>
      </c>
      <c r="B10" s="12">
        <f>SUMIFS('Saisie des dépenses'!$E:$E,'Saisie des dépenses'!$A:$A,"&gt;="&amp;A10,'Saisie des dépenses'!$A:$A,"&lt;"&amp;EDATE(A10,1))</f>
      </c>
      <c r="C10" s="12">
        <f>SUMIFS('Saisie des dépenses'!$E:$E,'Saisie des dépenses'!$A:$A,"&gt;="&amp;A10,'Saisie des dépenses'!$A:$A,"&lt;"&amp;EDATE(A10,1),'Saisie des dépenses'!$F:$F,"Oui")</f>
      </c>
      <c r="D10" s="12">
        <f>B10-C10</f>
      </c>
    </row>
    <row r="11" spans="1:4" x14ac:dyDescent="0.25">
      <c r="A11" s="16">
        <v>46295.91666666667</v>
      </c>
      <c r="B11" s="12">
        <f>SUMIFS('Saisie des dépenses'!$E:$E,'Saisie des dépenses'!$A:$A,"&gt;="&amp;A11,'Saisie des dépenses'!$A:$A,"&lt;"&amp;EDATE(A11,1))</f>
      </c>
      <c r="C11" s="12">
        <f>SUMIFS('Saisie des dépenses'!$E:$E,'Saisie des dépenses'!$A:$A,"&gt;="&amp;A11,'Saisie des dépenses'!$A:$A,"&lt;"&amp;EDATE(A11,1),'Saisie des dépenses'!$F:$F,"Oui")</f>
      </c>
      <c r="D11" s="12">
        <f>B11-C11</f>
      </c>
    </row>
    <row r="12" spans="1:4" x14ac:dyDescent="0.25">
      <c r="A12" s="16">
        <v>46326.95833333333</v>
      </c>
      <c r="B12" s="12">
        <f>SUMIFS('Saisie des dépenses'!$E:$E,'Saisie des dépenses'!$A:$A,"&gt;="&amp;A12,'Saisie des dépenses'!$A:$A,"&lt;"&amp;EDATE(A12,1))</f>
      </c>
      <c r="C12" s="12">
        <f>SUMIFS('Saisie des dépenses'!$E:$E,'Saisie des dépenses'!$A:$A,"&gt;="&amp;A12,'Saisie des dépenses'!$A:$A,"&lt;"&amp;EDATE(A12,1),'Saisie des dépenses'!$F:$F,"Oui")</f>
      </c>
      <c r="D12" s="12">
        <f>B12-C12</f>
      </c>
    </row>
    <row r="13" spans="1:4" x14ac:dyDescent="0.25">
      <c r="A13" s="16">
        <v>46356.95833333333</v>
      </c>
      <c r="B13" s="12">
        <f>SUMIFS('Saisie des dépenses'!$E:$E,'Saisie des dépenses'!$A:$A,"&gt;="&amp;A13,'Saisie des dépenses'!$A:$A,"&lt;"&amp;EDATE(A13,1))</f>
      </c>
      <c r="C13" s="12">
        <f>SUMIFS('Saisie des dépenses'!$E:$E,'Saisie des dépenses'!$A:$A,"&gt;="&amp;A13,'Saisie des dépenses'!$A:$A,"&lt;"&amp;EDATE(A13,1),'Saisie des dépenses'!$F:$F,"Oui")</f>
      </c>
      <c r="D13" s="12">
        <f>B13-C13</f>
      </c>
    </row>
    <row r="15" spans="1:6" x14ac:dyDescent="0.25">
      <c r="A15" s="17" t="s">
        <v>30</v>
      </c>
      <c r="B15" s="17"/>
      <c r="C15" s="17"/>
      <c r="D15" s="17"/>
      <c r="E15" s="17"/>
      <c r="F15" s="17"/>
    </row>
  </sheetData>
  <mergeCells count="1"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style="7" customWidth="1"/>
  </cols>
  <sheetData>
    <row r="1" spans="1:2" x14ac:dyDescent="0.25">
      <c r="A1" s="9" t="s">
        <v>14</v>
      </c>
      <c r="B1" s="10" t="s">
        <v>31</v>
      </c>
    </row>
    <row r="2" spans="1:2" x14ac:dyDescent="0.25">
      <c r="A2" s="5" t="s">
        <v>4</v>
      </c>
      <c r="B2" s="12">
        <f>SUMIF('Saisie des dépenses'!$C:$C,A2,'Saisie des dépenses'!$E:$E)</f>
      </c>
    </row>
    <row r="3" spans="1:2" x14ac:dyDescent="0.25">
      <c r="A3" s="5" t="s">
        <v>5</v>
      </c>
      <c r="B3" s="12">
        <f>SUMIF('Saisie des dépenses'!$C:$C,A3,'Saisie des dépenses'!$E:$E)</f>
      </c>
    </row>
    <row r="4" spans="1:2" x14ac:dyDescent="0.25">
      <c r="A4" s="5" t="s">
        <v>6</v>
      </c>
      <c r="B4" s="12">
        <f>SUMIF('Saisie des dépenses'!$C:$C,A4,'Saisie des dépenses'!$E:$E)</f>
      </c>
    </row>
    <row r="5" spans="1:2" x14ac:dyDescent="0.25">
      <c r="A5" s="5" t="s">
        <v>7</v>
      </c>
      <c r="B5" s="12">
        <f>SUMIF('Saisie des dépenses'!$C:$C,A5,'Saisie des dépenses'!$E:$E)</f>
      </c>
    </row>
    <row r="6" spans="1:2" x14ac:dyDescent="0.25">
      <c r="A6" s="5" t="s">
        <v>8</v>
      </c>
      <c r="B6" s="12">
        <f>SUMIF('Saisie des dépenses'!$C:$C,A6,'Saisie des dépenses'!$E:$E)</f>
      </c>
    </row>
    <row r="7" spans="1:2" x14ac:dyDescent="0.25">
      <c r="A7" s="5" t="s">
        <v>9</v>
      </c>
      <c r="B7" s="12">
        <f>SUMIF('Saisie des dépenses'!$C:$C,A7,'Saisie des dépenses'!$E:$E)</f>
      </c>
    </row>
    <row r="8" spans="1:2" x14ac:dyDescent="0.25">
      <c r="A8" s="5" t="s">
        <v>10</v>
      </c>
      <c r="B8" s="12">
        <f>SUMIF('Saisie des dépenses'!$C:$C,A8,'Saisie des dépenses'!$E:$E)</f>
      </c>
    </row>
    <row r="9" spans="1:2" x14ac:dyDescent="0.25">
      <c r="A9" s="5" t="s">
        <v>11</v>
      </c>
      <c r="B9" s="12">
        <f>SUMIF('Saisie des dépenses'!$C:$C,A9,'Saisie des dépenses'!$E:$E)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 d'emploi</vt:lpstr>
      <vt:lpstr>Catégories</vt:lpstr>
      <vt:lpstr>Saisie des dépenses</vt:lpstr>
      <vt:lpstr>Synthèse mensuelle</vt:lpstr>
      <vt:lpstr>Analyse par catégorie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Sphorix France</dc:creator>
  <dc:title/>
  <dc:subject/>
  <dc:description/>
  <cp:keywords/>
  <cp:category/>
  <cp:lastModifiedBy>Unknown</cp:lastModifiedBy>
  <dcterms:created xsi:type="dcterms:W3CDTF">2026-09-19T14:41:34Z</dcterms:created>
  <dcterms:modified xsi:type="dcterms:W3CDTF">2026-09-19T14:41:34Z</dcterms:modified>
</cp:coreProperties>
</file>